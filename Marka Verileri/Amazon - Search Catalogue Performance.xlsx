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r="http://schemas.openxmlformats.org/officeDocument/2006/relationships" xmlns="http://schemas.openxmlformats.org/spreadsheetml/2006/main">
  <sheets>
    <sheet name="metric-data" sheetId="1" r:id="rId1"/>
  </sheets>
</workbook>
</file>

<file path=xl/sharedStrings.xml><?xml version="1.0" encoding="utf-8"?>
<sst xmlns="http://schemas.openxmlformats.org/spreadsheetml/2006/main" count="564" uniqueCount="564">
  <si>
    <t>ASIN</t>
  </si>
  <si>
    <t>Item name</t>
  </si>
  <si>
    <t>Brand name</t>
  </si>
  <si>
    <t>Search funnel – impressions count</t>
  </si>
  <si>
    <t>Glance Views</t>
  </si>
  <si>
    <t xml:space="preserve">Search funnel – click count </t>
  </si>
  <si>
    <t>Search funnel – basket add count</t>
  </si>
  <si>
    <t xml:space="preserve">Search funnel - purchase count </t>
  </si>
  <si>
    <t>Conversion rate (%)</t>
  </si>
  <si>
    <t>Ordered units</t>
  </si>
  <si>
    <t>Ordered revenue (TRY)</t>
  </si>
  <si>
    <t>Total</t>
  </si>
  <si>
    <t>TP-Link M7650, 600Mbps LTE-Advanced Mobile Wi-Fi</t>
  </si>
  <si>
    <t>TP-Link</t>
  </si>
  <si>
    <t>TP-Link TL-SF1048, 48-Portlu 10/100Mbps Rackmount Switch</t>
  </si>
  <si>
    <t>TP-Link Tapo L430C | Çok Renkli Akıllı Mum Ampul | 16 Milyon Renk ve Ayarlanabilir Beyaz | Müzik Senkronizasyonu |%1 Ultra Düşük Parlaklık | Wi-Fi Akıllı Aydınlatma | Enerji İzleme | Hub Gerekmez</t>
  </si>
  <si>
    <t>Tapo</t>
  </si>
  <si>
    <t>TP-Link Deco X60 1-pack, AX5400 Mbps, 1 GHz Dört Çekirdekli CPU, WPA3, OFDMA ve MU-MIMO, 150 Cihaza Kadar Bağlantı, 270 m²'ye Kadar Kapsama, Mobil Uygulama ile Kolay Kurulum, Wi-Fi 6 Mesh Sistemi</t>
  </si>
  <si>
    <t>TP-Link TL-SG1210P, 10-Port Gigabit Desktop Switch with 8-Port PoE+</t>
  </si>
  <si>
    <t>TP-Link TL-SM311LS, MiniGBIC Modülü</t>
  </si>
  <si>
    <t>TP-Link WiFi Stick 6 güçlü AX1800Mbps, Archer TX20U, WLAN USB adaptörü, WLAN dongle, USB 3.0 Dual-Band, 2.4G/5GHz, MU-MIMO, WPA3, Windows 11/10 ile uyumlu</t>
  </si>
  <si>
    <t>TP-Link TL-SM5110-LR, 10GBase-LR SFP+ LC Transceiver</t>
  </si>
  <si>
    <t>TP-Link TL-PS110U, Tek USB2.0 Portlu Fast Ethernet Print Server</t>
  </si>
  <si>
    <t>TP-Link Archer TX20U Nano, AX1800 Mbps, Çift Bant, MU-MIMO, USB 2.0, WPA3, Windows 10/11 Uyumlu, Wi-Fi 6 Nano USB Adaptör</t>
  </si>
  <si>
    <t>Tapo C425 KIT, 2K 4MP QHD, AI Desteği, Renkli Gece Görüşü, Şarj Edilebilir, Su Geçirmez, Yerel/Bulut Depolama, 150° Geniş Açılı, Güneş Paneli Dahil, Kablosuz Bataryalı Güvenlik Kamerası Kiti</t>
  </si>
  <si>
    <t>TP-Link TL-SG1005LP, 4 Port PoE + ile 5 Port Gigabit Masaüstü Switch</t>
  </si>
  <si>
    <t>Tapo L530E 2-pack , 8.7 W, 2.4 GHz, 16.000.000 Renk Tonu, E27 Duy, Amazon Alexa ve Google Home ile Çalışır, Rengi Değiştirilebilir, Hub Gerekmez, Çok Renkli Akıllı Wi-Fi Ampulü</t>
  </si>
  <si>
    <t>Tapo A202 | Akıllı Güvenlik Kameraları İçin Güneş Paneli | 4.5W Yüksek Verimli Şarj | 4 Metre Kablo | IP65 Su Geçirmez | Monokristal Silikon Hücreler | Kesintisiz Güç Kaynağı</t>
  </si>
  <si>
    <t>Mercusys MB115-4G | N300 Mbps 4G LTE Router | SIM Kart Girişli | 4 Ethernet Portu | 4 Harici Antenli | 32 Cihaza Kadar Bağlantı | Mobil Uygulama Destekli</t>
  </si>
  <si>
    <t>MERCUSYS</t>
  </si>
  <si>
    <t>Mercusys MS110CP | 10 Port PoE+ Switch | 8 Port PoE Kamera Switch | 2 Gigabit Uplink | 65W | 250m Extend | VLAN | Network Switch | Güvenlik Sistemi Uyumlu</t>
  </si>
  <si>
    <t>Mercusys MB430-DSL | AC1200 Gigabit VDSL/ADSL Modem Router | 350 Mbps Süper VDSL (Profil 35b) | Fiber Uyumlu | EasyMesh Desteği | Çift Bant Wi-Fi | USB Port | 4x Gigabit Port | Mercusys App Kontrol</t>
  </si>
  <si>
    <t>TP-Link UH6120C, 1 HDMI, 1 100W Hızlı Şarj Portu, 1 USB-C, 2 USB-A 3.0 Port ve Type C den Gigabit Ethernet Dönüştürücü</t>
  </si>
  <si>
    <t>TP-Link ER706W, Omada AX3000 Gigabit VPN Router</t>
  </si>
  <si>
    <t>TP-Link LS105LP | 5-Port 10/100Mbps PoE Switch | 4-Port PoE, 41W Güç Bütçesi, 250m İletim | Tak ve Çalıştır, Sessiz Metal Kasa | IP Kamera ve AP Uyumlu</t>
  </si>
  <si>
    <t>TP-Link Deco X50-PoE 1-pack, AX3000 Mbps, PoE Destekli, Dual-Band, 2,5Gbps Ethernet Portu, 150 Cihaza Kadar Bağlantı, 230 m² 'ye Kadar Kapsama, Mobil Uygulama ile Kolay Kurulum, Wi-Fi 6 Mesh Sistemi</t>
  </si>
  <si>
    <t>Tapo RV30, LiDAR Navigasyonlu 4200PA Robot Süpürge ve Paspas</t>
  </si>
  <si>
    <t>TP-Link Deco PX50 2-Pack, AX3000 + G1500, 1 GHz CPU, Powerline/Mesh, Yapay Zeka Desteği, Gigabit Portları, 150 Cihaza Kadar Bağlantı, 420 m² 'ye Kadar Kapsama, Powerline Mesh WiFi 6 Sistemi</t>
  </si>
  <si>
    <t>TP-Link TD-W8961N 300Mbps Kablosuz N ADSL2+ Modem Router</t>
  </si>
  <si>
    <t>TP-Link TL-SG116E, 16-Port Gigabit Unmanaged Pro Switch</t>
  </si>
  <si>
    <t>TP-Link Deco X20-4G, AX1800 Tüm Ev Mesh WiFi 6 4G+ Router, SIM Kart ile 4G Bağlantısı, Gigabit Ethernet Portları, 150 Cihaza Kadar Bağlantı, 200 m² 'ye Kadar Kapsama</t>
  </si>
  <si>
    <t>TP-Link TL-MR6400, N300 Mbps Kablosuz 4G LTE Router, 4G/3G SIM Yuvası, Yapılandırma Gerektirmez, Konuk Ağı ve Ebeveyn Kontrolü Desteği</t>
  </si>
  <si>
    <t>Tapo C202, 1080P Full HD, Hareket Tespit ve Takibi, 360°, 9m Gece Görüşü, Çift Yönlü Ses, Alarm, Bulut/Yerel Depolama, Bebek Ağlaması Tespiti, İç Mekan Ethernet/Wi-Fi Güvenlik Kamerası</t>
  </si>
  <si>
    <t>TP-Link Archer TX20U Plus, AX1800 Mbps Çift Antenli Yüksek Kazanımlı Kablosuz USB Adaptör, 1 metre USB 3.0 kablosu, Beamforming, MU-MIMO, Düşük Gecikmeli Oyun Deneyimi, WPA3, Kolay Kurulum</t>
  </si>
  <si>
    <t>TP-Link TL-WPA4220T KIT, AV600 300Mbps Kablosuz Tak Kullan 2 LAN Portlu 300m Mesafeli Menzil Genişletici 3’lü Powerline Adaptör</t>
  </si>
  <si>
    <t>TP-Link Deco BE85 2-pack, BE19000 Mbps, 1x 10Gbps LAN/WAN Portu, 320 MHz Kanallar, 6 GHz Bandında Çalışır, 200 Cihaza Kadar Bağlanılabilirlik, VPN, WPA3, Üç Bantlı Wi-Fi 7 Mesh Sistemi</t>
  </si>
  <si>
    <t>Tapo C410, 2K 3MP, Renkli Gece Görüşü, Şarj Edilebilir, Solar Panel Destekli, IP65, Yerel/Bulut Depolama, 125° Açılı, Işıklı ve Sesli Alarm, Kablosuz Bataryalı Güvenlik Kamerası</t>
  </si>
  <si>
    <t>TP-Link TL-SG2218, JetStream 16-Port Gigabit Smart Switch with 2 SFP Slots</t>
  </si>
  <si>
    <t>TP-Link Tapo C645D KIT Güneş Enerjili Çift Lensli Pan/Tilt Güvenlik Kamerası, 2K Çözünürlük, İnsan/Araç/Evcil Hayvan Algılama, 360° Görüş, Akıllı Takip</t>
  </si>
  <si>
    <t>TP-Link Tapo RV30 Max Plus, Akıllı Otomatik Boşaltma Ünitesi, 5300Pa Yüksek Vakum Güçlü, Amazon Alexa ve Google Asistan Destekli, Robot Süpürge ve Paspas</t>
  </si>
  <si>
    <t>TP-Link RE505X, AX1500 Mbps OneMesh Wi-Fi 6 Menzil Genişletici, Geniş Bant/Wi-Fi Genişletici, 1 Gigabit Bağlantı Noktası ve 2 Harici Anten ile Güçlendirici/Hotspot, Dahili Erişim Noktası Modu</t>
  </si>
  <si>
    <t>Tapo L900-5, 5 Metre Çok Renkli Akıllı Wi-Fi Şerit Led, Alexa ve Google Assistant ile Uyumlu Ses Kontrolü, Müzikle Senkronizasyon</t>
  </si>
  <si>
    <t>TP-Link Archer AX80, AX6000 8-Stream 2.5Gbps Ethernet Portlu Wi-Fi 6 Router, Fiber Destekli, 2.5G Gigabit Bağlantı Noktası, 160 MHz Genişliği, EasyMesh Uyumlu, VPN Destekli, HomeSheild</t>
  </si>
  <si>
    <t>TP-Link TL-SG1024DE, 24-Port Gigabit Easy Smart Switch</t>
  </si>
  <si>
    <t>TP-Link UH5020C | USB-C 5-in-1 Hub | 4K@60Hz HDMI | 100W Hızlı Şarj | 2× USB-A Port | 1× USB-C Port | Tak &amp; Çalıştır | Windows | Mac | Linux &amp; Mobile Uyumlu</t>
  </si>
  <si>
    <t>TP-Link TL-WPA8630P KIT, AV1200 Gigabit Passthrough Powerline ac Wi-Fi Kit</t>
  </si>
  <si>
    <t>TP-Link EAP225, AC1350 Mbps Kablosuz MU-MIMO Gigabit Tavan Tipi Access Point</t>
  </si>
  <si>
    <t>TP-Link Archer AX10, AX1500 Mbps Dual-Band Wi-Fi 6 Router, Fiber Destekli, 4 Gigabit LAN Bağlantı Noktası, Beamforming, OFDMA, MU-MIMO, Ebeveyn Denetimleri</t>
  </si>
  <si>
    <t>TP-Link TL-PA7017 KIT, AV1000 Gigabit Powerline Başlangıç Kiti</t>
  </si>
  <si>
    <t>Tapo P100, Akıllı Mini Wi-Fi Soketi, Amazon Alexa ve Google Home ile Çalışır, Uzaktan Kontrol, Cihaz Paylaşımı, Hub Gerekmez, 1-pack</t>
  </si>
  <si>
    <t>TP-Link TL-SG105PE, 5-Port Gigabit Easy Smart Switch with 4-Port PoE+</t>
  </si>
  <si>
    <t>Mercusys Halo H25BE(3-pack) | Wi-Fi 7 Mesh Sistemi | BE3600 Mbps Hız | Fiber Uyumlu | Dual-Band | 3x1G Port | 650 m² Kapsama | MLO | 320 MHz, 4K-QAM | 8K Yayın | Kolay Kurulum ve Kullanım</t>
  </si>
  <si>
    <t>Tapo C460 KIT | 4K 8MP Güneş Enerjili Güvenlik Kamerası Kiti | 10000 mAh Batarya | Starlight Renkli Gece Görüşü | AI İnsan/Evcil Hayvan/Araç Algılama | IP66 | Wi-Fi | microSD &amp; Bulut</t>
  </si>
  <si>
    <t>TP-Link UA430D | USB 3.0 Type-C &amp; Type-A SD/microSD Kart Okuyucu | 5 Gbps Hız, UHS-I 200 MB/s, Çift Kart Eşzamanlı Okuma/Yazma, 2TB’a Kadar Destek, Alüminyum Gövde, Tak-Çalıştır</t>
  </si>
  <si>
    <t>TP-Link EAP653, AX3000 Mbps Tavan Tipi WiFi 6 Access Point</t>
  </si>
  <si>
    <t>TP-Link Deco P9(2-pack), AC1200+AV1000 Tüm Ev Hybrid Mesh Wi-Fi Sistemi, Powerline/Mesh Hibrit, Gigabit Portları, 100 Cihaza Kadar Bağlantı, 260 m²'ye Kadar Kapsama, Mobil Uygulama</t>
  </si>
  <si>
    <t>TL-PA7027P KIT, AV1000 2-Port Gigabit Passthrough Powerline Starter Kit</t>
  </si>
  <si>
    <t>Tapo C225, 2K QHD Wi-Fi Güvenlik Kamerası, Yapay Zeka Desteği, Hareket Tespit ve Takibi, 360°, Renkli Gece Görüşü, Çift Yönlü Sesli İletişim, Bulut/Yerel Depolama, Bebek Ağlaması Tespiti</t>
  </si>
  <si>
    <t>Mercusys MA30N, AC1300 Mbps, Çift Bant, MU-MIMO, Tak ve Çalıştır, Nano Wi-Fi 5 USB Adaptör</t>
  </si>
  <si>
    <t>TP-Link Deco BE65 2-pack, BE9300 Mbps, 4 × 2.5 Gbps Portlar, 320 MHz Kanallar, 6 GHz Bandında Çalışır, 200 Cihaza Kadar Bağlanılabilirlik, VPN, WPA3, Üç Bantlı Wi-Fi 7 Mesh Sistemi</t>
  </si>
  <si>
    <t>TP-Link Archer BE550, BE9300 Tri-Band Wi-Fi 7 Router, Fiber Destekli, 5× 2.5 Gbps Port, 6GHz 160 MHz Genişliği, VPN Destekli, Easy Mesh Uyumlu, HomeSheild</t>
  </si>
  <si>
    <t>Mercusys ME80X, AX3000 Mbps, 1 Gigabit Bağlantı Noktası ve 2 Harici Anten, Dahili Access Point Modu, Tek Tuşla Kolay Kurulum, Mobil Uygulama Desteği, Dual-Band Wi-Fi 6 Menzil Genişletici</t>
  </si>
  <si>
    <t>TP-Link TL-ANT24EC5S, 5 Metre Anten Uzatma Kablosu</t>
  </si>
  <si>
    <t>TP-Link TL-WR1502X, AX1500Mbps, 1 Gigabit WAN ve 1 Giabit Lan Port, Power Bank ile Çalışabilen All-in-One(Router, 3G/4G USB Modem, Hotspot, Acess Point, Menzil Genişletici) Taşınabilir Wi-Fi 6 Router</t>
  </si>
  <si>
    <t>Mercusys ME25BE | BE3600 Wi-Fi 7 Menzil Genişletici | 3600 Mbps Çift Bant Hız | Gigabit Ethernet Port | EasyMesh Uyumlu | Akıllı Sinyal Göstergesi | Sinyal Güçlendirici &amp; Access Point</t>
  </si>
  <si>
    <t>Tp-link Archer VR600 AC1600 Kablosuz Gigabit VDSL/ADSL Modem Router, Siyah/Gümüş</t>
  </si>
  <si>
    <t>Mercusys MR25BE; BE3600 Mbps, Fiber Destekli, 4× 10/100/1000Mbps Port, Easy Mesh Uyumlu, Dual-Band Wi-Fi 7 Router</t>
  </si>
  <si>
    <t>Tapo L930-5, Akıllı Wi-Fi Işık Şeridi, Çok Renkli, Wi-Fi Uygulama Kontrolü RGBW Çok Renkli LED Şerit, PU Kaplama, Müzikle Senkronizasyon, Alexa ve Google Home ve Apple HomeKit ile Çalışır</t>
  </si>
  <si>
    <t>TP-Link TL-POE10R Gigabit Ethernet PoE Dağıtıcı Adaptörü</t>
  </si>
  <si>
    <t>TP-Link TL-PA4020P KIT, AV600 Passthrough 2 Portlu Powerline Başlangıç Kiti</t>
  </si>
  <si>
    <t>TP-Link Tapo RVA105 - Tapo Robot Süpürge Yedek Parça Kiti, 1 Ana Fırça, 2 Yan Fırça, 2 Hepa Filtre</t>
  </si>
  <si>
    <t>Tapo P110, Mini Akıllı Wi-Fi Soketi, Enerji İzleme, Amazon Alexa ve Google Home ile Çalışır, Uzaktan Kontrol, Cihaz Paylaşımı, Hub Gerekmez</t>
  </si>
  <si>
    <t>TP-Link TL-SM5220-3M, 3 Meters 10G SFP+ Direct Attach Cable</t>
  </si>
  <si>
    <t>Mercusys MA20N, AC650 Mbps Kablosuz Dual-Band Nano USB Adaptör</t>
  </si>
  <si>
    <t>Tp-Link Tl-Wpa4220 Av600 Wi-Fi N300 Wifi Güç Hattı (600Mbit / Sn Maksimum Powerline, 300Mbit / Sn Wlan 2.4Ghz, Tak Ve Çalıştır, Tüm Powerline Adaptörleriyle Uyumlu, 1 Parçalı) Beyaz</t>
  </si>
  <si>
    <t>TP-Link Archer BE450, BE7200 Mbps, Fiber Destekli, 1× 10 Gbps WAN, 1× 2.5Gbps LAN Port + 3× 1 Gbps Port, 6GHz 320 MHz Kanalı, VPN Destekli, Easy Mesh Uyumlu, HomeSheild, Dual-Band Wi-Fi 7 Router</t>
  </si>
  <si>
    <t>TP-Link TL-POE170S, PoE++ Injector</t>
  </si>
  <si>
    <t>TP-Link TL-SX3016F, JetStream 16-Port 10GE SFP+ L2+ Managed Switch</t>
  </si>
  <si>
    <t>TP-Link Deco X50-Outdoor 1-Pack, AX3000 Mbps, IP65 Toza ve Suya Dayanıklılık, Dual-Band, Gigabit Bağlantı Noktaları, 230 m² 'ye Kadar Kapsama, HomeSheild, Dış Mekan/İç Mekan WiFi 6 Mesh Ünitesi</t>
  </si>
  <si>
    <t>Tapo L510E 2-pack , Ayarlanabilir Akıllı Wi-Fi Ampulü, 806 Lümen, E27 Duy, 8,3W, Enerji tasarrufu, Amazon Alexa ve Google Home ile çalışır, Kısılabilir Yumuşak Sıcak Beyaz, Hub Gerekmez</t>
  </si>
  <si>
    <t>TP-Link LS106LP | 6-Port 10/100Mbps PoE Switch | 4-Port PoE, 41W Güç Bütçesi, 250m İletim | Tak ve Çalıştır, Sessiz Metal Kasa | IP Kamera ve AP Uyumlu</t>
  </si>
  <si>
    <t>Mercusys MB135‑4G | AC1200 Dual Band 4G LTE Router | SIM Kartlı Kablosuz İnternet | 300 Mbps 2.4 GHz + 867 Mbps 5 GHz Wi‑Fi | 64 Cihaz Desteği | Nano SIM Plug &amp; Play | WAN Yedekli | Ebeveyn Kontrolü</t>
  </si>
  <si>
    <t>TP-Link TL-MR100-Outdoor | 4G LTE 300 Mbps Wi-Fi Outdoor Router | IP65 Dış Mekan Koruma | PoE/DC Güç Desteği | SIM Kartlı Tak-Çalıştır | Yıldırım &amp; ESD Koruması | Tether App ile Kolay Kurulum</t>
  </si>
  <si>
    <t>Tapo P110 2-pack, Enerji İzleme, Amazon Alexa ve Google Home ile Çalışır, Uzaktan Kontrol, Cihaz Paylaşımı, Hub Gerekmez, Mini Akıllı Wi-Fi Soketi</t>
  </si>
  <si>
    <t>Mercusys MS116GS; 16-Port Gigabit Portlu, Metal Kasalı, QoS Özellikli, Kurulum Gerektirmeyen Tak ve Çalıştır Özellikli Switch</t>
  </si>
  <si>
    <t>Tapo C500, 1080P Full HD Dış Mekan Wi-Fi Güvenlik Kamerası, Hareket Tespit/Takibi, 360°, IP65 Su Geçirmez, Gece Görüşü, Çift Yönlü Ses, Bulut/Yerel Depolama, Sesli ve Işıklı Alarm</t>
  </si>
  <si>
    <t>Mercusys MA14N | AX300 Mbps Nano USB Wi‑Fi 6 Adaptör | Kolay Kurulum | Windows &amp; Linux Uyumlu | Tak‑Çalıştır</t>
  </si>
  <si>
    <t>TP-Link Festa FR205, 1x WAN 2x WAN/LAN 2x LAN Gigabit Porları, Ücretsiz Bulut Yönetimi, 1 USB Port ile 4G/3G yedekleme, IPSec, PPTP, L2TP, and OpenVPN Destekli, Gigabit Load Balance VPN Router</t>
  </si>
  <si>
    <t>TP-Link Deco X55 1-pack, AX3000 Mbps, Yapay Zeka Desteği, Gigabit Portları, 150 Cihaza Kadar Bağlanılabilirlik, 230 m²'ye Kadar Kapsama, Mobil Uygulama ile Kolay Kurulum, Wi-Fi 6 Mesh Sistemi</t>
  </si>
  <si>
    <t>TP-Link UE300, USB 3.0 RJ45 Gigabit Ethernet Network Çevirici</t>
  </si>
  <si>
    <t>TP-Link TL-POE4824G, 48V Pasif PoE Adaptörü</t>
  </si>
  <si>
    <t>TP-Link TL-SG116, 16-Port Gigabit Desktop Switch</t>
  </si>
  <si>
    <t>Tp-Link Archer C20 4Port 433Mbps Dual Router</t>
  </si>
  <si>
    <t>TP-Link CPE610, 5GHz 300Mbps 23dBi Dış Mekan CPE</t>
  </si>
  <si>
    <t>Tapo C720, Akıllı Projektör Kamerası, 2K QHD, 2800 Lumen, Hareketle Etkinleşen Projektör, Yapay Zeka Desteği, IP65, Yerel/Bulut Depolama</t>
  </si>
  <si>
    <t>Tapo T310, Akıllı Sıcaklık ve Nem Monitörü, Ücretsiz Veri Depolama, Gerçek Zamanlı Bildirimler, Pil Dahildir, Alexa ve Google Home ile Çalışır, Tapo Hub Gereklidir Ayrıca Satılır</t>
  </si>
  <si>
    <t>Tapo C411 KIT 2K Solar Güvenlik Kamerası, Dış Mekan İçin, Çıkarılamaz Pil, Renkli Gece Görüşü, WLAN 2,4 GHz, İki Yönlü Ses, Kişi Tanıma, MicroSD Kart veya H500 Homebase üzerinden yerel depolama</t>
  </si>
  <si>
    <t>TP-Link TG-3468, 10/100/1000Mbps Gigabit PCI Express Network Adaptör</t>
  </si>
  <si>
    <t>TP-Link EAP650; AX3000 Mbps Tavan Tipi WiFi 6 Access Point</t>
  </si>
  <si>
    <t>TP-Link Deco X20-DSL(1-pack), AX1800 Fiber Destekli VDSL Tüm Ev Mesh WiFi 6 Modem, Dual-Band, VDSL ve Fiber Destekli, Gigabit Ethernet Portları, 150 Cihaza Kadar Bağlantı, 200 m² 'ye Kadar Kapsama</t>
  </si>
  <si>
    <t>Tapo RV20 Mop Plus, MagSlim LiDAR Navigasyonlu Robot Süpürge ve Paspas+ Akıllı Otomatik Boşaltma İstasyonu, 2700Pa Güçlü Emiş, 3 Saat Kesintisiz Temizlik</t>
  </si>
  <si>
    <t>TP-Link RE220, AC750 Wi-Fi Menzil Genişletici</t>
  </si>
  <si>
    <t>Mercusys MC230 | 3K 5MP Ultra HD Akıllı Wi-Fi Güvenlik Kamerası | 360° | 13.5x Zoom | Yapay Zeka Kişi ve Evcil Hayvan Algılama | Bebek Ağlama Sesi Duyarlı | Gece Görüşlü | Bulut/SD Kart Depolama</t>
  </si>
  <si>
    <t>TP-Link TL-WA3001; AX3000 Mbps, Gigabit Portlu, Pasif PoE'yi destekler, Erişim Noktasını, Menzil Genişleticiyi, Çoklu SSID'yi destekler, Artırılmış Kapsama Alanı, Dual-Band Wi-Fi 6 Access Point</t>
  </si>
  <si>
    <t>TP-Link RE190, AC750 Mbps Wi-Fi Menzil Genişletici</t>
  </si>
  <si>
    <t>TP-Link TL-SM5310-T, 10G Base-T RJ45 SFP+ Module</t>
  </si>
  <si>
    <t>Tapo C545D | 2K Çift Lensli Dış Mekan Güvenlik Kamerası | 165° Geniş Açı + Telefoto Lens | IP66 | AI Takip | Renkli Gece Görüşü | Ethernet Bağlantı | İki Yönlü Ses | Yerel &amp; Bulut Depolama</t>
  </si>
  <si>
    <t>TP-Link TL-PA7010P KIT, AV1000 Gigabit Passthrough Powerline Başlangıç Kiti</t>
  </si>
  <si>
    <t>TP-Link Kasa akıllı radyatör termostatı, dijital termostat, hub, enerji tasarrufu, zaman planı, uygulama üzerinden yoldayken kontrol, Alexa ve Google Assistant (Türkçe olmayabilir)</t>
  </si>
  <si>
    <t>TP-Link TL-WR844N, 300 Mbps Wi-Fi Router, Ebeveyn Denetimleri, All-in-one( Router, Access Point, Range Extender, WISP) Modları</t>
  </si>
  <si>
    <t>TP-Link TL-WPA8630 KIT, AV1300 Gigabit Powerline ac Wi-Fi Kit</t>
  </si>
  <si>
    <t>TP-Link TL-POE4818G, 48V Passive PoE Adapter</t>
  </si>
  <si>
    <t>TP-Link Tapo RV30 Max; 5300Pa Yüksek Vakum Güçlü, Amazon Alexa ve Google Asistan Destekli, Robot Süpürge ve Paspas</t>
  </si>
  <si>
    <t>Mercusys MW305R, 300 Mbps Kablosuz N Yönlendirici</t>
  </si>
  <si>
    <t>TP-Link TL-SG108 V3 8 Portlu Gigabit Ağ Anahtarı 8 Port Siyah TL-SG108</t>
  </si>
  <si>
    <t>Tapo C200, 1080P Full HD, Hareket Tespit ve Takibi, 360°, 9m Gece Görüşü, Çift Yönlü Sesli İletişim, Sesli Alarm, Bulut/Yerel Depolama, Bebek Ağlaması Tespiti, İç Mekan Wi-Fi Güvenlik Kamerası</t>
  </si>
  <si>
    <t>TP-Link Tl-Wn725N, 150Mbps Kablosuz N Nano Usb Adaptör</t>
  </si>
  <si>
    <t>TP‑Link RE715X | AX3000 Mesh Wi‑Fi 6 Extender | Çift Bant 3.0 Gbps | EasyMesh Uyumluluk | Smart Roaming | Gigabit Ethernet | WPS &amp; Tether Uyumlu</t>
  </si>
  <si>
    <t>TP-Link TL-PA4010KIT, AV600 Nano Powerline Adaptör Başlangıç Kiti</t>
  </si>
  <si>
    <t>TP-Link Archer TX23U WiFi 6 USB Adaptör AX1800 (1800 Mbps), Mini Nano Tasarım, Dual Band 5GHz/2.4GHz, USB 3.0, WPA3 Güvenlik, MU-MIMO OFDMA, Windows 11/10 Uyumlu Kablosuz Adaptör</t>
  </si>
  <si>
    <t>TP-Link TL-SF1016D, AC650 Yüksek Kazançlı Kablosuz Çift Bantlı USB Adaptör</t>
  </si>
  <si>
    <t>TP-Link TX401, 10 Gigabit PCI Express Network Adapter</t>
  </si>
  <si>
    <t>TP-Link Deco X50(2-pack), AX3000 Tüm Ev Mesh WiFi 6 Sistemi</t>
  </si>
  <si>
    <t>TP-Link Deco X50-PoE 2-pack, AX3000 Mbps, PoE Destekli, Dual-Band, 2,5Gbps Ethernet Portu, 150 Cihaza Kadar Bağlantı, 420 m² 'ye Kadar Kapsama, Mobil Uygulama ile Kolay Kurulum, Wi-Fi 6 Mesh Sistemi</t>
  </si>
  <si>
    <t>Mercusys MC200 | 1080p Güvenlik Wi-Fi Kamerası | 360° Görüş | Gece Görüşü | Akıllı Hareket &amp; Kişi Algılama | Çift Yönlü Ses | microSD &amp; Bulut Depolama | SmartThings, Alexa, Google Assistant Uyumlu</t>
  </si>
  <si>
    <t>TP-Link LS1008, 8-Port 10/100 Mbps Fast Ethernet Switch, 8 Bağlantılı Ethernet Çevirici, Beyaz</t>
  </si>
  <si>
    <t>TP-Link Deco E4 3-Pack , AC1200 Mbps, Dual-Band, 10/100Mbps Portları, 100 Cihaza Kadar Bağlanılabilirlik, 370 m²'ye Kadar Kapsama, Mobil Uygulama ile Kolay Kurulum, Wi-Fi 5 Mesh Sistemi</t>
  </si>
  <si>
    <t>TP-Link TL-POE10R, PoE Splitter</t>
  </si>
  <si>
    <t>TP-Link Archer C20, AC750 Mbps Kablosuz Dual-Band Access Point / Menzil Genişletici ve Router</t>
  </si>
  <si>
    <t>TP-Link Archer Air E5, AX3000 Dual-Band Wi-Fi 6 Air Router&amp;Menzil Genişletici, Gigabit Port, Ultra İnce Tasarım, EasyMesh Destekli, Xbox/PS/Steam için İdeal, WPA3, Esnek Kurulum Seçenekleri</t>
  </si>
  <si>
    <t>TP-Link Archer T4U Plus AC1300 Mbps Çift Antenli Yüksek Kazançlı Kablosuz USB Adaptörü</t>
  </si>
  <si>
    <t>TP-Link TC65, 2K 3MP, Hareket Algılama, IP66 Su Geçirmez, 30m Gece Görüşü, Çift Yönlü Ses, Bulut/Yerel Depolama, Sesli ve Işıklı Alarm, Dış Mekan Wi-Fi/Ethernet Güvenlik Kamerası</t>
  </si>
  <si>
    <t>Tapo L510E AYARLANABİLİR IŞIK SEVİYELİ AKILLI WI-FI LED AMPUL 2700K Warm White</t>
  </si>
  <si>
    <t>TP-Link TL-WPA8631P, AV1300 Gigabit Priz Soketli AC Wi-Fi Powerline Adaptör</t>
  </si>
  <si>
    <t>Tapo L630, Ayarlanabilir Parlaklık, Çok Renkli, GU10 Lamba Tabanı, Uzaktan Kumanda, Enerji Tasarrufu, Alexa ve Google Home ile Çalışır, Hub Gerektirmez, Akıllı Wi-Fi Spot Işığı</t>
  </si>
  <si>
    <t>TP-Link TL-WPA8631P KIT, AV1300 Gigabit Passthrough Powerline ac Wi-Fi Kiti</t>
  </si>
  <si>
    <t>TP-Link Archer TBE400U USB 3.0 Wi-Fi 7 Tri-Band Kablosuz Adaptör, BE6500, 6 GHz/5 GHz/2.4 GHz, 72x24x10.8 mm</t>
  </si>
  <si>
    <t>TP-Link TL-SG3428MP, JetStream 28-Port Gigabit L2 Managed Switch with 24-Port PoE+</t>
  </si>
  <si>
    <t>Tapo P100 4-Pack, Akıllı Mini Wi-Fi Soketi, Amazon Alexa ve Google Home ile Çalışır, Uzaktan Kontrol, Cihaz Paylaşımı, Hub Gerekmez</t>
  </si>
  <si>
    <t>TP-Link Archer C6 AC1200 Dual Band Kablosuz Mu-Mımo Gigabit Router</t>
  </si>
  <si>
    <t>TP-Link TL-SX1008, 8-Port 10G Desktop/Rackmount Switch</t>
  </si>
  <si>
    <t>TP-Link TL-SG1016PE, 16-Port Gigabit Easy Smart Switch with 8-Port PoE+</t>
  </si>
  <si>
    <t>TP-Link M7750 | 600 Mbps LTE-Advanced Mobile WiFi | 4G Cat12 Modem | Çift Bant 867 Mbps + 300 Mbps | 32 Cihaz Desteği | 3280 mAh Batarya | 15 Saate Kadar Kullanım | MicroSD | tpMiFi Uygulaması</t>
  </si>
  <si>
    <t>TP-Link Deco X80(3-Pack), AX6000 Tüm Ev Mesh WiFi 6 Sistemi</t>
  </si>
  <si>
    <t>Mercusys MW325R, 300Mbps Enhanced Wireless N Router</t>
  </si>
  <si>
    <t>EAP610</t>
  </si>
  <si>
    <t>TP-Link TL-SG1048, 48-Port Gigabit Rackmount Switch</t>
  </si>
  <si>
    <t>TP-Link TL-SG1005P, 5-Port Gigabit Desktop Switch with 4-Port PoE+</t>
  </si>
  <si>
    <t>TP-Link TL-WA855RE, N300 Mbps Wi-Fi Menzil Genişletici, 2 Harici Anten ve 1 Ethernet Bağlantı Noktalı Wi-Fi Güçlendirici/Hotspot, Access Point Modu, Tüm Wi-Fi Yönlendiriciler ile Çalışır</t>
  </si>
  <si>
    <t>TP-Link TL-WN823N, 300 Mbps N Kablosuz WPS/Soft AP Mini USB Adaptör</t>
  </si>
  <si>
    <t>TP-Link TL-WR3602BE | BE3600 Dual-Band Wi-Fi 7 Travel Router | 3.6 Gbps Hız | 2.5G WAN + Gigabit LAN | USB 3.0 | VPN Destekli (OpenVPN &amp; WireGuard) | Multi-Mode | Taşınabilir Router | Tether App</t>
  </si>
  <si>
    <t>TP-Link UA430C; USB 3.0 Type-C ile SD &amp; microSD 3.0 Kart Okuyucu</t>
  </si>
  <si>
    <t>TP-Link Tapo RVA202 - Tapo Robot Süpürge Tek Kullanımlık Toz Torbası (5 Adet), Tapo RV30 Max Plus, Tapo RV20 Max Plus</t>
  </si>
  <si>
    <t>TP-Link Archer C50, AC1200 Mbps Kablosuz Dual-Band Router, MU-MIMO, Beamforming, All-in-one( Router, Access Point, Range Extender) Modları</t>
  </si>
  <si>
    <t>TP-Link Archer C1200, AC1200 Mbps Kablosuz Dual Band Gigabit Access Point ve Router</t>
  </si>
  <si>
    <t>TP-Link Archer BE220, BE3600 Mbps, Fiber Destekli, 4× Gbps Port, VPN Destekli, HomeSheild, Easy Mesh Uyumlu, Dual-Band Wi-Fi 7 Router</t>
  </si>
  <si>
    <t>TP-Link Deco BE85 1-pack, BE19000 Mbps, 1x 10Gbps LAN/WAN Portu, 320 MHz Kanallar, 6 GHz Bandında Çalışır, 200 Cihaza Kadar Bağlanılabilirlik, VPN, WPA3, Üç Bantlı Wi-Fi 7 Mesh Sistemi</t>
  </si>
  <si>
    <t>TP-Link Deco BE25 1-pack, BE3600 Mbps, 2× 2.5 Gbps Portlar, AI Destekli Çoklu İşlem Kabiliyeti, 150 Cihaza Kadar Bağlanılabilirlik, VPN, WPA3, Dual-Band Wi-Fi 7 Mesh Sistemi</t>
  </si>
  <si>
    <t>TP-LINK Archer T4UH V2.0 AC1300 Dual band Wi-Fi Adaptörü</t>
  </si>
  <si>
    <t>TP-Link TAPO C110 WiFi Güvenlik Kamerası</t>
  </si>
  <si>
    <t>TP-Link Festa F65, AX3000Mbps, 1 Gigabit Port, Festa Mesh, Kesintisiz Dolaşım, MU-MIMO, 250 Cihaza Kadar Bağanlantı, Ücretsiz Bulut Yönetimi, PoE+ Destekli, Dual-Band Wi-Fi 6 Tavan Tipi Access Point</t>
  </si>
  <si>
    <t>TP-Link Deco M4 3-pack , AC1200 Mbps, Dual-Band, Gigabit Portları, 100 Cihaza Kadar Bağlanılabilirlik, 370 m²'ye Kadar Kapsama, Mobil Uygulama ile Kolay Kurulum, Wi-Fi 5 Mesh Sistemi</t>
  </si>
  <si>
    <t>Tapo C250 | 4K 8MP Ultra HD Akıllı Wi-Fi Kamera | 360° | AI Otomatik Zoom ve Takip | Bebek Ağlaması Algılama | Sesli ve Işıklı Alarm | İki Yönlü Ses | Gece Görüşü | Bulut/SD Kart Depolama</t>
  </si>
  <si>
    <t>TP-Link EAP650-Outdoor, AX3000 Mbps Dış Mekan WiFi 6 Access Point</t>
  </si>
  <si>
    <t>TP-Link Archer AX73, AX5400 Çift Bant Gigabit Wi-Fi 6 Router, Fiber Destekli, 4×Gbps LAN Portlarıları, 200'den Fazla Cihazı Bağlayın,OFDMA ve MU-MIMO Destekli, Oyun için İdeal Xbox/PS4/4K-8K Yayın</t>
  </si>
  <si>
    <t>TP-Link Archer VR600, AC2100 Mbps Kablosuz Dual-Band Fiber Destekli VDSL/ADSL Modem Router, 4 Gigabit LAN Portları + 1 USB 3.0 Port, MU-MIMO, Super VDSL, Tether Uygulaması ile Kolay Kurulum</t>
  </si>
  <si>
    <t>Mercusys MT110, 4G Taşınabilir Mobil Modem, 150Mbps ye kadar İnternet Hızı, 10 Cihaza Kadar Bağlantı, 2200 mAh Batarya, Kurulum Gerektirmez, Mobil Uygulama Desteği</t>
  </si>
  <si>
    <t>Tp-link TL-SM311LM, MiniGBIC Modülü</t>
  </si>
  <si>
    <t>TP-Link AV1000 Gigabit Powerline ac Wi-Fi Kit, TL-WPA7517 KIT, Gigabit Ethernet, 750 Mbps</t>
  </si>
  <si>
    <t>TP-Link TL-SF1024D, 24-Portlu 10/100Mbps Desktop/Rackmount Switch</t>
  </si>
  <si>
    <t>TP-Link TL-R480T+, Load Balance Broadband Router</t>
  </si>
  <si>
    <t>TP-Link Deco PX50 3-Pack, AX3000 + G1500, 1 GHz CPU, Powerline/Mesh, Yapay Zeka Desteği, Gigabit Portları, 150 Cihaza Kadar Bağlantı, 600 m² 'ye Kadar Kapsama, Powerline Mesh WiFi 6 Sistemi</t>
  </si>
  <si>
    <t>TP-Link TL-WR940N, 450Mbps Kablosuz WPS Destekli Access Point / Menzil Genişletici / Router</t>
  </si>
  <si>
    <t>TP-Link Tapo C245D | 2K 3MP Çift Lensli Akıllı Güvenlik Kamerası | 360° | Geniş Açı ve Tele-Lens | Akıllı Hareket Takibi | AI Kişi ve Bebek Ağlaması Algılama | Çift Ekran İzleme|Bulut/SD Kart</t>
  </si>
  <si>
    <t>Tapo H110 IR uzaktan kumanda – 18 cihaz tipini destekler, 8000'den fazla marka, Tapo sensörleri için hub, Alexa/Siri ile sesli kontrol, mat, zamanlayıcı, zaman planı, uzaktan kumanda ile uyumlu</t>
  </si>
  <si>
    <t>TP-Link TL-SG1008P, 8-Port Gigabit Desktop Switch with 4-Port PoE+</t>
  </si>
  <si>
    <t>TP-Link Archer TX50UH, AX3000Mbps USB Adaptörü, Wi-Fi 6, USB 3.0, Çift Bantlı, WPA3, Beamforming, MU-MIMO</t>
  </si>
  <si>
    <t>Tapo H100, Tapo Akıllı Hub, Tapo Akıllı Anahtar, Düğme ve Sensörle Çalışır, 64 Cihaz Bağlanabilir, 19 Zil Sesi Seçeneği, Kablolama Gerekmez</t>
  </si>
  <si>
    <t>TP-Link M7352 | 4G LTE Mobil Wi-Fi 6 Taşınabilir Modem | 150 Mbps 4G Hızı | 2100 mAh Pil ile 10 Saat Kullanım | Bilgi Ekranlı | 2 TB MicroSD Desteği | 10 Cihaz Bağlantısı | Yeni Nesil Cep Wi-Fi</t>
  </si>
  <si>
    <t>TP-Link TL-SX105, 5-Port 10G Desktop Switch</t>
  </si>
  <si>
    <t>Tapo C425 4-pack, 2K QHD Kablosuz Bataryalı Güvenlik Kamerası, Yapay Zeka Desteği, Renkli Gece Görüşü, 300 Gün Şarj Süresi, IP66, Yerel/Bulut Depolama, 150° Geniş Açılı, Solar Panel Desteği</t>
  </si>
  <si>
    <t>TP-Link TL-WN822N High-Gain Wireless USB Adaptör</t>
  </si>
  <si>
    <t>Tp-link CPE510, 5GHz 13dBi Outdoor CPE</t>
  </si>
  <si>
    <t>TP-Link Archer VR2100 AC2100 Mbps Kablosuz Dual-Band Fiber Destekli VDSL/ADSL Modem Router, 4 Gigabit LAN Portları + 1 USB 3.0 Port, MU-MIMO, Super VDSL, Tether Uygulaması ile Kolay Kurulum</t>
  </si>
  <si>
    <t>TP-Link M7350, 150Mbps ye kadar İnternet Hızı, 10 Cihaza Kadar Bağlantı, 2000 mAh Batarya, Kurulum Gerektirmez, Mobil Uygulama Desteği, 4G Taşınabilir Mobil LTE Modem</t>
  </si>
  <si>
    <t>TP-Link Deco S7 3-pack, AC1900 Mbps, Dual-Band, Gigabit Portları, 520 m²'ye kadar Kapsama Alanı, 100'den Fazla Cihaz Bağlantısı, Mobil Uygulama ile Kolay Kurulum, Wi-Fi 5 Mesh Sistemi</t>
  </si>
  <si>
    <t>TP-Link UH7021C | USB-C 7’si 1 Arada Hub | 4K@60Hz HDMI, 100W PD, 3× USB 3.0, SD &amp; microSD UHS-I (200 MB/s), Tak-Çalıştır, Alüminyum Tasarım</t>
  </si>
  <si>
    <t>Tapo WLAN akıllı priz Tapo P100, akıllı ev WiFi priz, Alexa aksesuarı, Alexa, Google Home, Tapo uygulaması ile çalışır, sesli kontrol, uzaktan erişim, hub gerekmez, mini, beyaz</t>
  </si>
  <si>
    <t>TP-Link UH9120C, 4K 60Hz HDMI, Gigabit RJ45 Port, 100W Hızlı Şarj, SD ve MicroSD Kart Yuvası, 5Gbps Data Transfer Hızı, 9'u Bir Arada USB-C Hub</t>
  </si>
  <si>
    <t>TP-Link CPE220, 2.4GHz 300Mbps 12dBi Antenli Dış Mekan CPE/Access Point</t>
  </si>
  <si>
    <t>TP-Link EAP115-Wall, 300Mbps Wireless N Wall-Plate Access Point</t>
  </si>
  <si>
    <t>TP-Link TL-SG3210XHP-M2, JetStream 8-Port 2.5GBASE-T and 2-Port 10GE SFP+ L2+ Managed Switch with 8-Port PoE+</t>
  </si>
  <si>
    <t>TP-Link TL-WPA4226KIT, AV600 300 Mbps Kablosuz 2 LAN Portlu 300 Metre Mesafeli Priz Girişli Powerline</t>
  </si>
  <si>
    <t>TP-Link TL-WN822N, N300 Mbps Yüksek Kazanımlı Kablosuz USB Adaptör, 2x3dBi Anten, 1.5 m USB Kablolu, Beyaz</t>
  </si>
  <si>
    <t>Tapo S110E WLAN ve Bluetooth akıllı röle şalteri, kuru/ıslak kontak, 1 kanal, 10 A, ışık şalteri, garaj kapısı açıcı, enerji algılama, Alexa ile uyumlu, mat ile uyumlu, hub gerekli değildir</t>
  </si>
  <si>
    <t>TP‑Link Deco BE68 3‑Pack | BE14000 Tri‑Band Mesh Wi‑Fi 7 Router | 14 Gbps Hız | 10 Gbps + 2.5 Gbps + 1 Gbps Ethernet | AI Mesh &amp; Seamless Roaming | HomeShield Güvenlik | Geniş Kapsama | Kolay Kurulum</t>
  </si>
  <si>
    <t>TP-Link Tapo S112 | Akıllı Wi-Fi Switch Röle Modülü | Panjur ve Perde Kontrolü | Çift Kanal Işık Yönetimi | Matter Sertifikalı | Enerji İzleme | Engel Algılama | Sıfır Geçiş Koruması | Sesle Kontrol</t>
  </si>
  <si>
    <t>Mercusys MA32H, AC1300 Mbps, Çift Bant, USB 3.0, Yüksek Çekim Güçlü Wi-Fi 5 USB Adaptör</t>
  </si>
  <si>
    <t>TP-Link Archer TX55E, AX3000 Wi-Fi 6 Bluetooth 5.2 PCIe Ağ Kartı, İki Anten, Özel Soğutucu, 1024-QAM, Ultra Düşük Gecikme, Intel Wi-Fi 6 Yonga Seti, Windows 10/11'i Destekler</t>
  </si>
  <si>
    <t>TP-Link Archer TX35U Plus | AX1800 Wi-Fi 6 Kablosuz USB Adaptör | 1800 Mbps Hız | Çift Bant | Yüksek Çekim Güçlü Anten | USB 3.0 | WPA3 | Beamforming &amp; MU-MIMO | Masaüstü ve Laptop PC Alıcı</t>
  </si>
  <si>
    <t>TP-Link TL-WPA7817 KIT, AV1000&amp;AX1500 Mbps, 1× Gigabit Portlu, 4K Video ve Online Oyunlarda Yüksek Performans, EasyMesh Destekli, Tak ve Çalıştır, Powerline Adaptör Kiti</t>
  </si>
  <si>
    <t>TP-Link TL-SG1024, 24-Port Gigabit Rackmount Switch</t>
  </si>
  <si>
    <t>TP-Link TL-WPA4220KIT 300Mbps AV600 Wi-Fi Powerline Extender Başlangıç Kiti, Kablosuz Menzil Genişletici</t>
  </si>
  <si>
    <t>TP-Link TL-ER7206, SafeStream Gigabit Multi-WAN VPN Router</t>
  </si>
  <si>
    <t>Mercusys Halo H60X 2-pack, AX1500Mbps, Dual-Band, Gigabit Portları, 100'e Kadar Cihaz Bağlanabilir, 350 m²'ye Kadar Kapsama, Akıllı Bağlantı, Mobil Uygulama ile Kolay Kurulum, Wi-Fi 6 Mesh Sistemi</t>
  </si>
  <si>
    <t>Mercusys Halo H60X 3-pack, AX1500Mbps, Dual-Band, Gigabit Portları, 100'e Kadar Cihaz Bağlanabilir, 550 m²'ye Kadar Kapsama, Akıllı Bağlantı, Mobil Uygulama ile Kolay Kurulum, Wi-Fi 6 Mesh Sistemi</t>
  </si>
  <si>
    <t>TP-Link Archer TX20E, AX1800 Wi-Fi 6 Bluetooth 5.2 PCIe Ağ Kartı</t>
  </si>
  <si>
    <t>TP-Link RE230, AC750 Wi-Fi Menzil Genişletici</t>
  </si>
  <si>
    <t>TP-Link Deco X90(2-pack), AX6600 Mbps Tüm Evi Kapsayan Wi-Fi Mesh Sistemi</t>
  </si>
  <si>
    <t>TP-Link TL-SG1016, 16-Port Gigabit Easy Smart Switch with 8-Port PoE+</t>
  </si>
  <si>
    <t>TP-Link EAP225-Outdoor, AC1200 Mbps Kablosuz MU-MIMO Gigabit Dış Ortam Access Point</t>
  </si>
  <si>
    <t>TP-Link RE705X, AX3000 Mbps Wi-Fi 6 Menzil Genişletici, Geniş Bant Güçlendirici, 1 Gigabit Bağlantı Noktalı Hotspot, 160 MHz Kanallar, Dahili Access Point Modu</t>
  </si>
  <si>
    <t>TP-Link Archer AX12, AX1500 Wi-Fi 6 Gigabit Portlu Kablosuz Router, Fiber Destekli, 4 Gigabit LAN Portları, WPA3, Oyun için İdeal Xbox/PS4/Steam ve 4K</t>
  </si>
  <si>
    <t>Tapo C465 | 4K 8MP Ultra HD Güneş Panelli Kablosuz Kamera | Dahili Solar Panel | 180 Gün Pil Ömrü | Hırsızlık Korumalı | Dual-Band Wi-Fi | AI Kişi/Araç Algılama | IP65 | Bulut/SD Kart Depolama</t>
  </si>
  <si>
    <t>Tapo S112 | 2 kanallı WLAN ve Bluetooth akıllı röle şalteri – 6A | panjur ve ışık kontrolü, güç tüketimi ölçümü | Matter uyumlu | Uygulama üzerinden uzaktan kumanda | Hub gerekli değildir</t>
  </si>
  <si>
    <t>Tapo C200C, 1080P Full HD, Hareket Tespit ve Takibi, 360°, 9m Gece Görüşü, Çift Yönlü Ses, Sesli Alarm, Bulut/Yerel Depolama, Bebek Ağlaması Tespiti, İç Mekan Wi-Fi Güvenlik Kamerası</t>
  </si>
  <si>
    <t>TP-Link TL-WN881ND, 300 Mbps Kablosuz N PCI Express Adaptör</t>
  </si>
  <si>
    <t>TP-Link TL-MR150, N300 Mbps Kablosuz 4G LTE Router, 4G/3G SIM Yuvası, 32 Cihaza Kadar Bağlantı, Yapılandırma Gerektirmez, Konuk Ağı ve Ebeveyn Kontrolü Desteği</t>
  </si>
  <si>
    <t>TP-Link Tapo RV20 Max Plus; 83mm İnce Tasarım, MagSlim LiDAR Navigasyon, 5300Pa Yüksek Vakum Güçlü, Akıllı Otomatik Boşaltma Ünitesi, Tapo IQ, Robot Süpürge ve Paspas</t>
  </si>
  <si>
    <t>TP-Link Festa F61-Outdoor, AX1800Mbps, 1 Gigabit Port, Festa Mesh, Kesintisiz Dolaşım,IP67 Sertifikalı, Ücretsiz Bulut Yönetimi, 802.3at ve Pasif PoE Destekli, Dual-Band Wi-Fi 6 Dış Mekan Access Point</t>
  </si>
  <si>
    <t>TP-Link Archer AX50, AX3000 Mbps, Fiber Destekli, 4× Gigabit LAN Ports, WPA3, OFDMA, HomeCare, Dual Band Gigabit Wi-Fi 6 Router</t>
  </si>
  <si>
    <t>Tapo RV30 Plus, LiDAR Navigasyonlu 4200PA Robot Süpürge ve Paspas + Akıllı Otomatik Boşaltma Ünitesi</t>
  </si>
  <si>
    <t>TP-Link TL-SG2210MP, JetStream 10-Port Gigabit Smart Switch with 8-Port PoE+</t>
  </si>
  <si>
    <t>TP-Link Deco X73-DSL 1-pack, AX5400 Mbps, Dual-Band, Gigabit Ethernet Portları, 150 Cihaza Kadar Bağlantı, 270 m² 'ye Kadar Kapsama, Fiber Destekli Wi-Fi 6 VDSL Mesh Modemi</t>
  </si>
  <si>
    <t>Tapo P300, 1.5m, 3'lü Akıllı Wi-Fi Priz, 18 W Hızlı Şarj, Uzaktan Kontrol, Kolay Kurulum ve Kullanım, Amazon Alexa, Google Home ve HomeKit Desteği</t>
  </si>
  <si>
    <t>TP-Link EH210 Gigabit Ethernet Splitter 1 to 2, RJ45 LAN Çoğaltıcı 1000 Mbps, USB-C Güçlü, Dual Port Ethernet Bölücü, Tak Çalıştır Network Splitter</t>
  </si>
  <si>
    <t>TP-Link UH3020C, 4K 60Hz HDMI, 100W Hızlı Şarj, 1x Type-A, 3'ü Bir Arada USB-C Hub</t>
  </si>
  <si>
    <t>TP-Link UE330, USB 3.0 3-Port Hub ve Gigabit Ethernet Adaptör İkisi bir arada USB Adaptör</t>
  </si>
  <si>
    <t>TP-Link LS1005G Ethernet Çevirici 5 Port 10/100/1000 Mbps</t>
  </si>
  <si>
    <t>Tapo TP-Link A100, Bataryalı Kameralar İçin Şarj Edilebilir Yedek Batarya</t>
  </si>
  <si>
    <t>TP-Link TL-SG108-M2, 8-Port 2.5G Desktop Switch</t>
  </si>
  <si>
    <t>TP-Link TL-WN727N, N150 Mbps Kablosuz USB Adaptör, 150 mbps, Wi-Fi, USB Donanım Kilidi, LAN, WLAN</t>
  </si>
  <si>
    <t>TP-Link UE330C, USB Type-C den 3 adet Type-A 3.0 Hub ve Gigabit Ethernet Adaptörü</t>
  </si>
  <si>
    <t>TP-Link Deco X50(3-pack), AX3000 Tüm Ev Mesh WiFi 6 Sistemi</t>
  </si>
  <si>
    <t>Tapo C510W, 2K Dış Mekan Wi-Fi Güvenlik Kamerası, Hareket Tespit/Takibi, 360°, IP65 Su Geçirmez, Renkli Gece Görüşü, Çift Yönlü Ses, Bulut/Yerel Depolama, Sesli ve Işıklı Alarm</t>
  </si>
  <si>
    <t>TP-Link TD-W9960, 300Mbps Wireless N VDSL/ADSL Modem Router</t>
  </si>
  <si>
    <t>TP-Link TL-MR3420, 300Mbps N Kablosuz 4-Port 2x5dBi Değiştirilebilir Antenli Bağlantı Korumalı Denetlenebilir IP WPS 3G/</t>
  </si>
  <si>
    <t>TP-Link RE800BE, BE19000 Mbps, 1× 10 Gbps + 2× Gigabit LAN Portları, 6GHz / 320MHz, EasyMesh Destekli, 8 Adet Dahili Anten ile Geniş Kapsama Alanı, Tri-Band Wi-Fi 7 Menzil Genişletici</t>
  </si>
  <si>
    <t>TP-Link TL-SG105, 5-Port 10/100/1000Mbps Gigabit Siwtch</t>
  </si>
  <si>
    <t>Tapo C425 2-pack, 2K QHD Kablosuz Bataryalı Güvenlik Kamerası, Yapay Zeka Desteği, Renkli Gece Görüşü, 300 Gün Şarj Süresi, IP66, Yerel/Bulut Depolama, 150° Geniş Açılı, Solar Panel Desteği</t>
  </si>
  <si>
    <t>TP-Link Deco X68(3-pack), AX3600 Whole Home Mesh WiFi 6 System</t>
  </si>
  <si>
    <t>TP-Link Archer T4U, 1300Mbps Kablosuz Dual Band USB Adaptör</t>
  </si>
  <si>
    <t>TP-Link MC110CS, Fast Ethernet Medya Dönüştürücü</t>
  </si>
  <si>
    <t>TP-Link Deco BE65 1-pack, BE9300 Mbps, 4 × 2.5 Gbps Portlar, 320 MHz Kanallar, 6 GHz Bandında Çalışır, 200 Cihaza Kadar Bağlanılabilirlik, VPN, WPA3, Üç Bantlı Wi-Fi 7 Mesh Sistemi</t>
  </si>
  <si>
    <t>Tapo C530WS, 3K 5MP, Hareket Tespit/Takibi, 360°, IP66, Renkli Gece Görüşü, Çift Yönlü Ses, Bulut/Yerel Depolama, Sesli ve Işıklı Alarm, Dış Mekan Wi-Fi/Ethernet Güvenlik Kamerası</t>
  </si>
  <si>
    <t>Mercusys MC500 | 1080p Dış Mekan Güvenlik Kamerası | 360° Görüş | Renkli Gece Görüşü | Akıllı Takip | IP65 Hava Koşullarına Dayanıklı | microSD &amp; Bulut Depolama | SmartThings, Google Home, Alexa</t>
  </si>
  <si>
    <t>Tapo C425 KIT Güneş Gözetleme Kamerası Dış Mekan Pili, 2K Çözünürlük, Renkli Gece Görüşü, MicroSD Bellek, 10000 mAh Pil, 150° Süper Geniş Açı Görüş Alanı, İki Yönlü Ses, Alexa ve Google</t>
  </si>
  <si>
    <t>TP-Link Archer TX30U Plus WiFi 6 USB Adaptör AX1800 (1800 Mbps), Dual Band 5GHz/2.4GHz, USB 3.0, Çift Yüksek Kazançlı Anten, WPA3 Güvenlik, Windows 11/10 Uyumlu Kablosuz Adaptör</t>
  </si>
  <si>
    <t>TP-Link TL-SG1218MP, 18-Port Gigabit Rackmount Switch with 16 PoE+</t>
  </si>
  <si>
    <t>Tapo S210, Akıllı Işık Anahtarı, Uzaktan Kumanda, Aletsiz Pil Değiştirme, Nötr Gerekmez, Tüm ampullerle uyumlu, Alexa ve Google Home ile Çalışır, Tapo Hub Gereklidir Ayrıca Satılır</t>
  </si>
  <si>
    <t>Tapo C320WS, 2K 4MP Dış Mekan Wi-Fi/Ethernet Güvenlik Kamerası, Hareket Algılama, IP66 Su Geçirmez, 30m Starlight Gece Görüşü, Çift Yönlü Ses, Bulut/Yerel Depolama, Sesli ve Işıklı Alarm</t>
  </si>
  <si>
    <t>TP-Link Archer T4E, AC 1200 Mbps Wireless Dual Band PCI Express Adaptör</t>
  </si>
  <si>
    <t>Mercusys MC510 | 2K QHD Dış Mekan Güvenlik Kamerası | 360° Görüş | Renkli Gece Görüşü | Akıllı Takip | IP65 Hava Koşullarına Dayanıklı | microSD &amp; Bulut Depolama | SmartThings, Google Home, Alexa</t>
  </si>
  <si>
    <t>TP-Link Deco X50-PoE 3-pack, AX3000 Mbps, PoE Destekli, Dual-Band, 2,5Gbps Ethernet Portu, 150 Cihaza Kadar Bağlantı, 600 m² 'ye Kadar Kapsama, Mobil Uygulama ile Kolay Kurulum, Wi-Fi 6 Mesh Sistemi</t>
  </si>
  <si>
    <t>TP-Link Archer T4U Plus, Siyah</t>
  </si>
  <si>
    <t>TP-Link Archer T2U Plus, AC 600 Mbps Antenli Wireless USB Adaptör</t>
  </si>
  <si>
    <t>TP-Link RE650, AC2600 Mbps OneMesh Wi-Fi Menzil Genişletici, 1 Gigabit Bağlantı Noktalı Wi-Fi Güçlendirici/Hotspot, Çift Çekirdekli CPU, Access Point Modu, Tüm Wi-Fi Yönlendiriciler ile Çalışır</t>
  </si>
  <si>
    <t>TP-Link LS108GP | 8-Port Gigabit PoE+ Switch | 62W PoE Bütçesi, 250m İletim, Tak ve Çalıştır | Fansız, Sessiz Metal Kasa | IP Kamera &amp; AP Uyumlu Ağ Anahtarı</t>
  </si>
  <si>
    <t>Tapo D205 | Mini Akıllı Görüntülü Kapı Zili | 2K Net Görüntü | 160° Geniş Açı | 180 Gün Pil Ömrü | AI Kişi Algılama | İki Yönlü Ses | IP54 Hava Koşullarına Dayanıklı | Bulut/SD Kart Depolama</t>
  </si>
  <si>
    <t>TP-Link M8550 | 5G Mobil Wi-Fi 6E Taşınabilir Modem | 3.4 Gbps Hız | Tri-Band AXE3600 | Dokunmatik Ekran | Gigabit Port | VPN Desteği | 32 Cihaz Bağlantısı | Sim Kartlı Cep Wi-Fi | Yeni Nesil 5G</t>
  </si>
  <si>
    <t>Mercusys MR27BE; BE3600 Mbps, Fiber Destekli, 2× 2.5 Gbps WAN&amp;LAN Port + 2× Gbps Port, Easy Mesh Uyumlu, Dual-Band Wi-Fi 7 Router</t>
  </si>
  <si>
    <t>TP-Link UE300C, USB Type-C to RJ45 Gigabit Ethernet Network Adapter</t>
  </si>
  <si>
    <t>TP-Link Archer AX20, AX1800 Mbps Dual-Band Wi-Fi 6 Router, Fiber Destekli, 4 Gigabit LAN Portları + 1 USB 2.0 Port, WPA3, Çift Çekirdekli İşlemci, Oyun için İdeal Xbox/PS4/Steam ve 4K</t>
  </si>
  <si>
    <t>Tapo C220, 2K 4MP, Yapay Zeka Desteği, Hareket Tespit ve Takibi, 360°, 9m Gece Görüşü, Çift Yönlü Sesli İletişim, Bulut/Yerel Depolama, Bebek Ağlaması Tespiti,İç Mekan Wi-Fi Güvenlik Kamerası</t>
  </si>
  <si>
    <t>TP-Link Deco X55 3-pack, AX3000 Mbps, Yapay Zeka Desteği, Gigabit Portları, 150 Cihaza Kadar Bağlanılabilirlik, 600 m²'ye Kadar Kapsama, Mobil Uygulama ile Kolay Kurulum, Wi-Fi 6 Mesh Sistemi</t>
  </si>
  <si>
    <t>TP-Link UE200, USB 2.0 Ethernet Ağ Adaptörü</t>
  </si>
  <si>
    <t>TP-Link Archer GE230 Wi-Fi 7 Oyuncu Yönlendicisi, 3.6 Gbps, 2.5G Portlu, MLO ve 4K-QAM Teknolojili, RGB Aydınlatmalı, EasyMesh Uyumlu</t>
  </si>
  <si>
    <t>Tapo C460 | 4K 8MP Bataryalı Dış Mekan Güvenlik Kamerası | 10000 mAh | Starlight Renkli Gece Görüşü | AI İnsan/Evcil Hayvan/Araç Algılama |IP66| Wi-Fi | microSD &amp; Bulut | Güneş Paneli Desteği</t>
  </si>
  <si>
    <t>TP-Link Archer C3150, AC3150 Wireless MU-MIMO Gigabit Router</t>
  </si>
  <si>
    <t>TP-Link Tapo P410M Akıllı Dış Mekan Wi-Fi Priz, Matter Sertifikalı, IP54 Su Sıçramasına Dayanıklı, V-0 Alev Geciktirici Malzeme, 16A, 2.4 GHz</t>
  </si>
  <si>
    <t>Tapo C420S2, 2K QHD Kablosuz Bataryalı Güvenlik Kamerası, Yapay Zeka Desteği, Renkli Gece Görüşü, 180 Gün Şarj Süresi, Su Geçirmez, Yerel/Bulut Depolama, Sesli Alarm, Solar Panel Desteği + HUB</t>
  </si>
  <si>
    <t>Tapo S200B, Akıllı Buton, Özelleştirilmiş Eylemler, Akıllı Kontrol, Tek Tıklamayla Alarm Aktivasyonu, Uzun Ömürlü Pil, Tapo Hub Gereklidir Ayrıca Satılır</t>
  </si>
  <si>
    <t>Tapo C246D | 2K 3MP Çift Lensli Akıllı Güvenlik Kamerası | Pan/Tilt | İç ve Dış Mekan | IP65 | AI Hareket, Kişi ve Evcil Hayvan Algılama | Renkli Gece Görüşü | Çift Yönlü Ses</t>
  </si>
  <si>
    <t>TP-Link EAP245, AC1750 Kablosuz MU-MIMO Gigabit Tavana Monte Erişim Noktası</t>
  </si>
  <si>
    <t>Mercusys MR47BE | BE9300 Wi-Fi 7 Üç Bant Oyuncu ve Ev Ağı Router | 9300 Mbps Ultra Hız | 6 GHz + 5 GHz + 2.4 GHz | MLO Teknolojisi | 4× 2.5G Port | 6× Yüksek Kazançlı Anten | EasyMesh | WPA3 Güvenlik</t>
  </si>
  <si>
    <t>TP-Link LS108G, 8-Port 10/100/1000 Mbps Gigabit Ethernet Switch, 8 Bağlantı Noktası</t>
  </si>
  <si>
    <t>Mercusys MB110-4G, 300 Mbps Kablosuz N 4G LTE Router</t>
  </si>
  <si>
    <t>TP-Link RE300 | Wi-Fi 5 Menzil Genişletici | AC1200 Mbps | EasyMesh | Dual Band | Kolay Kurulum | Tüm Modem ve Router Modelleri ile Uyumludur</t>
  </si>
  <si>
    <t>TP-Link CPE710, 5GHz AC867 Mbps 23dBi Dış Mekan CPE</t>
  </si>
  <si>
    <t>TP-Link Archer T3U, AC1300 Mini Wireless MU-MIMO USB Adaptör</t>
  </si>
  <si>
    <t>TP-Link TL-WPA7617 KIT, AV1000 Gigabit Passthrough Powerline ac Wi-Fi Kit</t>
  </si>
  <si>
    <t>TP-Link TL-WPS510U, 150Mbps Cep Tipi Kablosuz Print Server</t>
  </si>
  <si>
    <t>TP-Link Archer C64, AC1200 Mbps Kablosuz MU-MIMO WiFi Router, 4 Gigabit LAN Bağlantı Noktası, Beamforming, WPA3, Access Point Modu, Ebeveyn Denetimleri</t>
  </si>
  <si>
    <t>TP-Link Deco X50-DSL 1-pack, AX3000 Mbps, Dual-Band, Gigabit Ethernet Portları, 150 Cihaza Kadar Bağlantı, 230 m² 'ye Kadar Kapsama, Fiber Destekli Wi-Fi 6 VDSL Mesh Modemi</t>
  </si>
  <si>
    <t>TP-Link Archer TBE552E | BE9300 Wi-Fi 7 PCIe Adaptör | Bluetooth 5.4 | Üç Bant 5760 + 2880 + 688 Mbps | 6 GHz Destekli | Çift Anten | WPA3 Güvenlik | Windows 11 64-bit Uyumluluk</t>
  </si>
  <si>
    <t>TP-Link TL-SM5220-1M, 1 Meter 10G SFP+ Direct Attach Cable</t>
  </si>
  <si>
    <t>TP-Link Archer T2U, 600Mbps Kablosuz Dual Band USB Adaptör</t>
  </si>
  <si>
    <t>TP-Link TL-SG1008MP, 8-Port Gigabit Desktop/Rackmount Switch with 8-Port PoE+</t>
  </si>
  <si>
    <t>TP-Link Deco M4 2-pack, AC1200 Mbps, Dual-Band, Gigabit Portları, 100 Cihaza Kadar Bağlanılabilirlik, 260 m²'ye Kadar Kapsama, Mobil Uygulama ile Kolay Kurulum, Wi-Fi 5 Mesh Sistemi</t>
  </si>
  <si>
    <t>TP-Link Archer TX50E, AX3000 Mbps Wi-Fi 6 Bluetooth 5.0 PCIe Ağ Kartı, İki Anten, 1024-QAM,OFDMA ve 160 MHz Bant Genişliği, Ultra Düşük Gecikme, Intel Wi-Fi 6 Yonga Seti, Windows 10/11'i Destekler</t>
  </si>
  <si>
    <t>TP-Link RE655BE, BE9300 Mbps, 1× 2.5G Gigabit LAN Portu, 6GHz / 320MHz, EasyMesh Destekli, 4 Adet Harici Anten ile Geniş Kapsama Alanı, Tri-Band Wi-Fi 7 Menzil Genişletici</t>
  </si>
  <si>
    <t>TP-Link TL-WR802N, 300Mbps Kablosuz N Nano Router</t>
  </si>
  <si>
    <t>TP-Link TD-W9970, 300Mbps Fiber Modem/Router,EWAN, VPN, Ebeveyn Kontrolü, VDSL, ADSL2+, USB port</t>
  </si>
  <si>
    <t>TP-Link TL-WR820N, 300 Mbps, Ebeveyn Denetimleri, All-in-one( Router, Access Point, Range Extender, WISP) Modları, Wi-Fi Router</t>
  </si>
  <si>
    <t>Mercusys MR37BE Wi-Fi 7 Router | BE6500 Mbps Hız | Dual-Band | Fiber Destekli | 2× 2.5G Port, 2× Gigabit Port | 6 Anten | MLO | EasyMesh | Geniş Kapsama | Hızlı 4K/8K Streaming &amp; Oyun | Kolay Kurulum</t>
  </si>
  <si>
    <t>TP-Link TL-WN881ND 300 MBps Kablosuz N PCI Express Adaptör</t>
  </si>
  <si>
    <t>Tapo, Tapo Rva100, Robot Süpürge Değiştirme Kiti, Ana Fırça ×1, Yan Fırça ×2, Hepa Filtre ×2 Tapo Rv30 Plus, Tapo Rv30, Tapo Rv10 Plus, Tapo Rv10 Için Uygundur, Beyaz</t>
  </si>
  <si>
    <t>Tapo T315, Akıllı Sıcaklık ve Nem Monitörü, Ücretsiz Veri Depolama, LCD Ekran, Gerçek Zamanlı Bildirimler, Pil Dahildir, Alexa ve Google Home ile Çalışır, Tapo Hub Gereklidir Ayrıca Satılır</t>
  </si>
  <si>
    <t>TP-Link TL-SG1008D, 8-Portlu Gigabit Masaüstü Switch</t>
  </si>
  <si>
    <t>Tapo S220, Akıllı Işık Anahtarı, Uzaktan Kumanda, Aletsiz Pil Değiştirme, Nötr Gerekmez, Tüm ampullerle uyumlu, Alexa ve Google Home ile Çalışır, Tapo Hub Gereklidir Ayrıca Satılır</t>
  </si>
  <si>
    <t>Mercusys MA30E, AC1200MBPS Ikisi Bir Arada Wi-Fi 5 &amp; Bluetooth 5.0 Pcıe Ağ Kartı</t>
  </si>
  <si>
    <t>Mercusys MC410 KIT | Solar Panelli 2K Kablosuz Güvenlik Kamerası| Renkli Gece Görüşü |IP65 Dış Mekan|Dual-Band Wi-Fi |İnsan Algılama|Çift Yönlü Ses | Siren &amp; Alarm |Alexa &amp; Google Uyumlu</t>
  </si>
  <si>
    <t>TP-Link Archer TX20UH, AX1800 Yüksek Kazançlı Kablosuz USB Adaptör, 1,2 metre USB 3.0 kablosu, Beamforming Teknolojisi, MU-MIMO, Düşük Gecikmeli Oyun Deneyimi, WPA3, Kolay Kurulum</t>
  </si>
  <si>
    <t>TP-Link OC200, Omada Hardware Controller</t>
  </si>
  <si>
    <t>Tapo C212, 2K 3MP İç Mekan Wi-Fi/Ethernet Güvenlik Kamerası, Kişi Tespit ve Hareket Takibi, 360°, Gelişmiş Gece Görüşü, Çift Yönlü Sesli İletişim, Bulut/Yerel Depolama, Bebek Ağlaması Tespiti</t>
  </si>
  <si>
    <t>TP-Link Deco X55 2-pack, AX3000 Mbps, Yapay Zeka Desteği, Gigabit Portları, 150 Cihaza Kadar Bağlanılabilirlik, 420 m²'ye Kadar Kapsama, Mobil Uygulama ile Kolay Kurulum, Wi-Fi 6 Mesh Sistemi</t>
  </si>
  <si>
    <t>TP-Link TL-MR3020, Portatif 3G/4G Kablosuz N Router</t>
  </si>
  <si>
    <t>TP-Link TX201, 2.5 Gigabit PCIe Ağ Adaptörü</t>
  </si>
  <si>
    <t>TP-Link Archer BE400 | Dual-Band Wi-Fi 7 Router | Fiber Destekli | BE6500 Mbps | 1× 2.5 Gbps WAN + 1× 2.5 Gbps LAN + 3× 1 Gbps Port | 5GHz | VPN Destekli | EasyMesh Uyumlu | HomeShield</t>
  </si>
  <si>
    <t>TP-Link TL-SM331T, 1000BASE-T RJ45 SFP Module</t>
  </si>
  <si>
    <t>TP-Link USB 3.0 7-port hub UH700</t>
  </si>
  <si>
    <t>TP-Link TL-SG108E, 8-Port Gigabit Easy Smart Switch</t>
  </si>
  <si>
    <t>TP-Link TL-WA901N, 450Mbps Wireless N Access Point</t>
  </si>
  <si>
    <t>TP-Link Festa F65-Outdoor, AX3000Mbps, 1 Gigabit Port, Festa Mesh, Kesintisiz Dolaşım,IP67 Sertifikalı, Ücretsiz Bulut Yönetimi, 802.3at ve Pasif PoE Destekli, Dual-Band Wi-Fi 6 Dış Mekan Access Point</t>
  </si>
  <si>
    <t>TP-Link EAP110-Outdoor, 300Mbps Wireless N Dış Mekan Access Point</t>
  </si>
  <si>
    <t>TP-Link TL-WN722N, N150 Mbps Yüksek Kazanımlı Kablosuz USB Adaptör, 4dBi Ayrılabilir Anten</t>
  </si>
  <si>
    <t>TP-Link ‎TL-FC311B-20, Gigabit WDM Media Dönüştürücü</t>
  </si>
  <si>
    <t>TP-Link TL-SG3428X, JetStream 24-Port Gigabit L2+ Managed Switch with 4 10GE SFP+ Slots</t>
  </si>
  <si>
    <t>TP-Link Archer VR300, AC1200 Mbps Kablosuz Dual-Band Fiber Destekli VDSL/ADSL Modem Router, 4 Ethernet Portu ve 4 Harici Anten, Tether Uygulaması ile Kolay Kurulum</t>
  </si>
  <si>
    <t>Mercusys MB230-4G, AC1200Mbps, Mobil Uygulama Destekli, 64 Cihaza Kadar Bağlantı, SIM Kart Girişli, 2 Adet Ethernet Portlu, Dual-Band Cat 6 4G+ LTE Router</t>
  </si>
  <si>
    <t>TP-Link UB600 Nano | Bluetooth 6.0 USB Adaptör | Yeni Nesil Yüksek Güvenlik ve Kararlılık | Kablosuz PC Alıcı | Windows 11/10/8.1/7 Uyumlu | Tak-Unut Mini Tasarım | Bluetooth Dongle</t>
  </si>
  <si>
    <t>TP-Link TL-WPA7510 KIT, AC750 Mbps Kablosuz 1000 Mbps Kablolu Gigabit Powerline</t>
  </si>
  <si>
    <t>TP-Link ER7212PC, Omada 3-in-1 Gigabit VPN Router</t>
  </si>
  <si>
    <t>TP-Link PG1200 KIT, G.hn1200 Powerline Adaptör Kiti</t>
  </si>
  <si>
    <t>TP-Link RE315 AC1200 Mbps Wi-Fi Güçlendirici - 2 Harici Anten, 1 Ethernet Bağlantı Noktası, Hotspot ve Access Point Modu, Tüm Yönlendiriciler ile Uyumlu, Wi-Fi 5 Menzil Genişletici</t>
  </si>
  <si>
    <t>TP-Link MC100CM, Fast Ethernet Medya Dönüştürücü</t>
  </si>
  <si>
    <t>TP-Link Tapo RVB102 | Robot Süpürge Şarj Ünitesi | RV30 Max &amp; RV20 Max Serisi ile Uyumlu | Güç Kablosu Dahil</t>
  </si>
  <si>
    <t>TP-Link TL-SF1005D TP-LINK TL-SF1005D 5-Port 10/100Mbps Tak ve Kullan % 60 Enerji Tasarruflu Switch</t>
  </si>
  <si>
    <t>Tapo C425, 2K 4MP QHD, AI Desteği, Renkli Gece Görüşü, 300 Gün Şarj Süresi, Su Geçirmez, Yerel/Bulut Depolama, 150° Geniş Açılı, Solar Panel Desteği, Kablosuz Bataryalı Güvenlik Kamerası</t>
  </si>
  <si>
    <t>TP-Link Tapo L930-10, Akıllı Wi-Fi Işık Şeridi, Çok Renkli, Wi-Fi Uygulama Kontrolü RGBW Çok Renkli LED Şerit, PU Kaplama, Müzikle Senkronizasyon, Alexa ve Google Home ve Apple HomeKit ile Çalışır</t>
  </si>
  <si>
    <t>TP-Link RE350 AC1200, 1200Mbps Menzil Genişletici</t>
  </si>
  <si>
    <t>TP-Link Archer AX53, AX3000 Dual Band Gigabit Wi-Fi 6 Router, Fiber Destekli, 4× Gigabit LAN Ports, WPA3, Oyun için İdeal Xbox/PS4/Steam</t>
  </si>
  <si>
    <t>TP-Link Deco XE75(1-pack), AXE5400 Tri-Band Mesh Wi-Fi 6E Sistemi, 6GHZ ve 160MHZ, WPA3 Koruması, Gigabit Portları, 200 Cihaza Kadar Bağlanılabilirlik, 270 m²'ye kadar kapsama, Yapay Zeka Desteği</t>
  </si>
  <si>
    <t>TP-Link EAP610-Outdoor, AX1800 Dış Mekan Wi-Fi6 Kablosuz Erişim Noktası</t>
  </si>
  <si>
    <t>TP-Link Archer TX1U Nano; AX300 Mbps, Nano Tasarım, Tak ve Çalıştır, Linux ve Windows(11/10/7) Destekli, Wi-Fi 6 USB Adaptör</t>
  </si>
  <si>
    <t>Tapo RVA200, Robot Vakumlu Tek Kullanımlık Toz Torbası, 4L Tek Kullanımlık Toz Torbası ×3 RV30 Plus, RV10 Plus İçin Uygundur</t>
  </si>
  <si>
    <t>TP-Link M7005 | 4G LTE Mobil Wi-Fi 6 Taşınabilir Modem | 150 Mbps 4G Hızı | 2400 mAh Batarya | 12 Saat Kullanım | 10 Cihaz Desteği | Kolay SIM Kart Girişi | Cep Wi-Fi | tpMiFi Uygulama Destekli</t>
  </si>
  <si>
    <t>TP-Link EAP615-Wall, AX1800 Duvara Monte Wi-Fi 6 Erişim Noktası</t>
  </si>
  <si>
    <t>Tapo C410 KIT, 2K 3MP, Renkli Gece Görüşü, Şarj Edilebilir, IP65 Sertifikalı, Yerel/Bulut Depolama, 110° Açılı, Güneş Paneli Dahil, Kablosuz Bataryalı Güvenlik Kamerası Kiti</t>
  </si>
  <si>
    <t>TP-Link TL-SG1428PE, 28-Port Gigabit Easy Smart Switch with 24-Port PoE+</t>
  </si>
  <si>
    <t>TP-Link TL-PA4010PKIT, AV600 AC Güç Soketli Powerline Adaptör Başlangıç Kiti</t>
  </si>
  <si>
    <t>TP-Link TD-W9970 300 Mbps Fiber EWAN VPN Ebeveyn Kontrolü VDSL ADSL2+ USB Port Modem/Router</t>
  </si>
  <si>
    <t>Tapo C325WB, 2K 4MP, Yapay Zeka Desteği, Hareket Tespit, IP66 Su Geçirmez, Renkli Gece Görüşü, Çift Yönlü Ses, Bulut/Yerel Depolama, Sesli ve Işıklı Alarm, Dış Mekan Wi-Fi Güvenlik Kamerası</t>
  </si>
  <si>
    <t>Mercusys ME60X, AX1500 Çift Bantlı Wi-Fi 6 Menzil Genişletici, 1 Gigabit Bağlantı Noktası ve 2 Harici Anten ile Geniş Bant/Wi-Fi Güçlendirici/Hotspot, Access Point Modu</t>
  </si>
  <si>
    <t>TP-Link TL-WA850RE 300 Mbps Wifi Güçlendirici</t>
  </si>
  <si>
    <t>TP-Link Archer AX23, AX1800 Çift Bant Wi-Fi 6 Yönlendirici</t>
  </si>
  <si>
    <t>TP-Link Archer GE550 | Wi-Fi 7 Gaming Router | 9300 Mbps Hız | Üç Bant | 5G/2.5G Port | EasyMesh | MLO | RGB Aydınlatma | Oyun Hızlandırma | HomeShield</t>
  </si>
  <si>
    <t>TP-Link TL-PA9020 Kit, AV2000 2-Port Gigabit Powerline Başlangıç Kiti</t>
  </si>
  <si>
    <t>TP-LINK ARCHER VR400 1200 Mbps VDSL2 MODEM</t>
  </si>
  <si>
    <t>TP-Link Deco M3W, Tüm Decolarla Uyumlu Ek Ünite AC1200 Çift Bantlı WiFi</t>
  </si>
  <si>
    <t>Mercusys MA30H, AC1300 Mbps, Çift Bant, USB 3.0, Yüksek Çekim Güçlü Wi-Fi 5 USB Adaptör</t>
  </si>
  <si>
    <t>TP-Link Archer C60, AC1350 Mbps Kablosuz Dual Band Router, Geniş Menzil, Beamforming, Access Point Modu</t>
  </si>
  <si>
    <t>Tapo T110, Tapo Akıllı Kapı/Pencere Kontak Sensörü, Anlık Bildirim, Pil Dahil, Kolay Kurulum, Diğer Tapo Ürünleri ile Aksiyon Tetikleme, Tapo Hub Gereklidir Ayrıca Satılır</t>
  </si>
  <si>
    <t>TP-Link UP540, 40W 5-Port USB Şarj Cihazı</t>
  </si>
  <si>
    <t>TP-Link Tapo S200D, Uzaktan Kontrol Edilebilen Akıllı Işık Düğmesi, Gerçek Zamanlı Bildirimler, Kabloya Gerek Yok, Pil dahil, Kolay Kurulum ve Kullanım, Tapo Hub Gereklidir Ayrıca Satılır</t>
  </si>
  <si>
    <t>TP-Link TL-WA801N, 300Mbps Wireless N Access Point</t>
  </si>
  <si>
    <t>TP-Link Archer TBE400E | BE6500 Wi-Fi 7 PCIe Adaptör | Bluetooth 5.4 | Üç Bant 2882 + 2882 + 688 Mbps | Çift Anten | WPA3 Güvenlik | OFDMA &amp; MU-MIMO | Windows 11 64-bit Uyumluluk</t>
  </si>
  <si>
    <t>Tapo L630 4-pack, Akıllı Wi-Fi Spot Işığı, Ayarlanabilir Parlaklık, Çok Renkli, GU10 Lamba Tabanı, Uzaktan Kumanda, Enerji Tasarrufu, Alexa ve Google Home ile Çalışır, Hub Gerektirmez</t>
  </si>
  <si>
    <t>TP‑Link Tapo S110E | Akıllı Switch Modülü | Kuru &amp; Islak Kontak Desteği | Wi‑Fi &amp; Bluetooth Bağlantı | Matter/Alexa/Google Home/Apple Home Uyumlu | Uzaktan &amp; Sesle Kontrol</t>
  </si>
  <si>
    <t>TP-Link LS1024G | 24 Port Gigabit Switch | Masaüstü &amp; Rackmount | Tak ve Çalıştır | QoS Desteği | Enerji Verimli | Sessiz Fansız Tasarım | Metal Kasa | 10/100/1000 Mbps</t>
  </si>
  <si>
    <t>Tapo C210, 2K 3MP, Hareket Tespit ve Takibi, 360°, 9m Gece Görüşü, Çift Yönlü Sesli İletişim, Sesli Alarm, Bulut/Yerel Depolama, Bebek Ağlaması Tespiti, İç Mekan Wi-Fi Güvenlik Kamerası</t>
  </si>
  <si>
    <t>TP-Link Archer MR400, AC1200 Wireless Dual Band 4G LTE Router, 4G/3G SIM Yuvası, 64 Cihaza Kadar Bağlantı, Yapılandırma Gerektirmez, Konuk Ağı ve Ebeveyn Kontrolü Desteği</t>
  </si>
  <si>
    <t>TP-Link Archer C24, AC750 Mbps Dual-Band Router, Ebeveyn Denetimleri, All-in-one( Router, Access Point, Range Extender) Modları</t>
  </si>
  <si>
    <t>TP-Link Deco X20(3-pack), AX1800 Mbps Tüm Ev Mesh Wi-Fi 6 Sistemi, 1 GHz CPU, Yapay Zeka Desteği, Gigabit Portları, 150 Cihaza Kadar Bağlanılabilirlik, 540 m²'ye Kadar Kapsama, HomeSheild</t>
  </si>
  <si>
    <t>TP-Link TL-WA860RE, N300 Mbps Wi-Fi Priz Soketli Menzil Genişletici</t>
  </si>
  <si>
    <t>TP-Link Archer TX10E | AX900 Wi-Fi 6 Bluetooth 5.3 PCIe Adaptör | 887 Mbps Çift Bant Hız | MU-MIMO &amp; OFDMA | Çift Harici Anten | WPA3 Güvenlik | Masaüstü PC Dahili Ağ Kartı</t>
  </si>
  <si>
    <t>TP-Link TL-PoE160S, PoE İnjektör</t>
  </si>
  <si>
    <t>Kablosuz Wifi Alıcı AC1300 Mbps Dual Band USB 3.0 Adaptör</t>
  </si>
  <si>
    <t>TP-Link Deco X10 1-pack, AX1500 Mbps, 190 m²'ye kadar Kapsama Alanı, 120 Cihaza Kadar Bağlantı, Gigabit Portlu, Mobil Uygulama ile Kolay Kurulum,Yapay Zeka Destekli Wi-Fi 6 Mesh Sistemi</t>
  </si>
  <si>
    <t>TP-Link TL-SG108, 8-Port 10/100/1000 MBPS Gigabit Ethernet Switch 5 V Harici Güç Adaptörü</t>
  </si>
  <si>
    <t>TP-Link UB500, Bluetooth 5.4, (PC dizüstü bilgisayar masaüstü bilgisayar için, Windows 10/8.1/8/7 Plug &amp; Play destekler), Nano USB Bluetooth Adaptör</t>
  </si>
  <si>
    <t>TP-Link Archer TBE400UH - Wi-Fi 7 Yüksek Çekim Güçlü Wi-Fi USB Adaptör, BE6500 Mbps, Tri-Band, USB 3.0, Çoklu Bağlantı İşlemi, Geniş Menzil, Online Oyun İçin İdeal, MU-MIMO ve OFDMA Destekli</t>
  </si>
  <si>
    <t>TP-Link TL-SF1006P, 6-Port 10/100Mbps Desktop Switch with 4-Port PoE+</t>
  </si>
  <si>
    <t>TP-Link Archer VX1800v, AX1800 Mbps Çift Bantlı Fiber Destekli Wi-Fi 6 VDSL/ADSL Modem Router, 4 Gigabit LAN Portları + 1 USB 2.0 Port, MU-MIMO, Super VDSL, Tether Uygulaması ile Kolay Kurulum</t>
  </si>
  <si>
    <t>Mercusys ME70X, AX1800 Wi-Fi 6 Menzil Genişletici</t>
  </si>
  <si>
    <t>TP-Link TD-W8961N, 300Mbps Wireless N ADSL2+ Modem Router</t>
  </si>
  <si>
    <t>TP-LINK TL-WN725N 150Mbps USB NANO SINYAL ALICI</t>
  </si>
  <si>
    <t>TP-Link RE405BE | BE6500 Wi-Fi 7 Menzil Genişletici | 6.5 Gbps Hız | 2.5G Multi-Gigabit Port | Sinyal Güçlendirici | EasyMesh Desteği | Akıllı Roaming | Tether Uygulaması | Kolay Kurulum</t>
  </si>
  <si>
    <t>TP-Link UE306, USB 3.0 - Gigabit Ethernet Ağ Adaptörü</t>
  </si>
  <si>
    <t>TP-Link TL-SG2008P,JetStream 8-Port Gigabit Smart Switch with 4-Port PoE+</t>
  </si>
  <si>
    <t>Tapo TP-Link T300, Akıllı Su Sızıntı Algılama Sensörü, IP67 Su Geçirmez, Anlık Uygulama Bildirimi, 90dB'ye Kadar Alarm, Damlama ve Sızıntı Uyarısı</t>
  </si>
  <si>
    <t>TP-Link Festa F61, AX1800Mbps, 1 Gigabit Port, Festa Mesh, Kesintisiz Dolaşım, MU-MIMO, 250 Cihaza Kadar Bağanlantı, Ücretsiz Bulut Yönetimi, PoE Destekli, Dual-Band Wi-Fi 6 Tavan Tipi Access Point</t>
  </si>
  <si>
    <t>TP-Link TL-SG1024D Gigabit Masaüstü Anahtar, Siyah, 24'lü</t>
  </si>
  <si>
    <t>TP-Link UH7020C, 4K 60Hz HDMI, Gigabit RJ45 Port, 100W Hızlı Şarj, SD ve MicroSD Kart Yuvası, 5Gbps Data Transfer Hızı, 7'si Bir Arada USB-C Hub</t>
  </si>
  <si>
    <t>TP-Link TL-WR840N, 300Mbps Kablosuz N Router</t>
  </si>
  <si>
    <t>Tapo L530E 3.0, Matter Wi-Fi LED Akıllı Ampul, Çok Renkli, E27,60W 806 Amazon Alexa ve Google Home ile Çalışır, Renk Değiştirilebilir, Hub Gerekmez</t>
  </si>
  <si>
    <t>TP-Link ER707-M2, Omada Multi-Gigabit VPN Router</t>
  </si>
  <si>
    <t>Mercusys Halo H47BE(2-Pack) | Wi-Fi 7 Mesh Sistemi | BE9300 Mbps Hız | Fiber Uyumlu | Üç Bant | 3x 2.5G Port | 6 GHz | MLO | WPA3 | 550 m² Kapsama | Windows &amp; Mobil Uyumlu</t>
  </si>
  <si>
    <t>TP-Link M7450 300 Mbps LTE-Advanced Mobile Wi-Fi kablosuz yöneltici</t>
  </si>
  <si>
    <t>Mercusys MR60X Wi-Fi 6 Router | AX1500 Mbps Hız, Gigabit Port, Fiber Uyumlu, WPA3 Güvenlik, Mobil Uygulama ile Kurulum, VPN Desteği, MU-MIMO &amp; Beamforming, Dual-Band</t>
  </si>
  <si>
    <t>TP-Link Archer AX55, AX3000 Mbps Dual Band Wi-Fi 6 Router, Fiber Destekli, 4× Gigabit LAN Ports, WPA3, 1× USB 3.0 Port, Oyun için İdeal Xbox/PS4/8K Steam</t>
  </si>
  <si>
    <t>Tapo C230, 3K 5MP, Yapay Zeka Desteği, Hareket Takibi, 360°, 12m Gece Görüşü, Çift Yönlü Sesli İletişim, Bulut/Yerel Depolama, Bebek Ağlaması Tespiti,İç Mekan Wi-Fi Güvenlik Kamerası</t>
  </si>
  <si>
    <t>TP-Link Tapo C113 | 2K Akıllı İç Mekan Güvenlik Kamerası | 2304×1296 Çözünürlük | Wi-Fi IP Kamera | Gece Görüş | Hareket Algılama | İki Yönlü Ses | Tapo Uygulama Desteği</t>
  </si>
  <si>
    <t>TP-Link TL-SG108PE, 8 Port Gigabit / 4 Port POE Smart Switch</t>
  </si>
  <si>
    <t>TP-Link TL-WN8200ND, 300Mbps High Power Wireless USB Adapter</t>
  </si>
  <si>
    <t>Tp-link RE305, AC1200 Wi-Fi Range Extender</t>
  </si>
  <si>
    <t>TP-Link Archer VR400, AC1200 Mbps Kablosuz Dual-Band MU-MIMO Fiber Destekli VDSL/ADSL Modem Router, 4 Gigabit LAN Portları + 1 USB 2.0 Port, Beamforming, Tether Uygulaması ile Kolay Kurulum</t>
  </si>
  <si>
    <t>TP-Link Deco E4 1-Pack , AC1200 Mbps, Dual-Band, 10/100Mbps Portları, 100 Cihaza Kadar Bağlanılabilirlik, Mobil Uygulama ile Kolay Kurulum, Wi-Fi 5 Mesh Sistemi</t>
  </si>
  <si>
    <t>Tapo C520WS, 2K QHD Dış Mekan Wi-Fi/Ethernet Güvenlik Kamerası, Hareket Tespit/Takibi, 360°, IP66 Su Geçirmez, Renkli Gece Görüşü, Çift Yönlü Ses, Bulut/Yerel Depolama, Sesli ve Işıklı Alarm</t>
  </si>
  <si>
    <t>TP-Link TL-SG1016D, 16-Port Gigabit Masaüstü/Rackmount Switch</t>
  </si>
  <si>
    <t>TP-Link Deco X20(1-pack), AX1800 Mbps Tüm Ev Mesh Wi-Fi 6 Sistemi, 1 GHz CPU, Yapay Zeka Desteği, Gigabit Portları, 150 Cihaza Kadar Bağlanılabilirlik, 200 m²'ye Kadar Kapsama, HomeSheild</t>
  </si>
  <si>
    <t>TP-Link LS105GP | 5-Port Gigabit PoE+ Switch | 65W PoE Bütçesi, 250m İletim, Tak ve Çalıştır | Fansız, Sessiz Metal Kasa | IP Kamera &amp; AP Uyumlu Ağ Anahtarı</t>
  </si>
  <si>
    <t>Mercusys MA12N, N300 Mbps Kablosuz Nano USB Adaptör</t>
  </si>
  <si>
    <t>TP-Link OC300, Omada Hardware Controller</t>
  </si>
  <si>
    <t>TP-Link Deco E4 (2-Pack), AC1200 Mbps Tüm Ev Mesh Wi-Fi Sistemi, Dual-Band, 10/100Mbps Portları, 100 Cihaza Kadar Bağlanılabilirlik, 260 m²'ye Kadar Kapsama, Mobil Uygulama</t>
  </si>
  <si>
    <t>TP‑Link Deco BE68 | BE14000 Tri‑Band Mesh Wi‑Fi 7 Router 1‑Pack | 14 Gbps Hız | 10 Gbps + 2.5 Gbps + 1 Gbps Ethernet | AI Mesh &amp; Seamless Roaming | HomeShield Güvenlik</t>
  </si>
  <si>
    <t>TP-Link RE200 Dual Band 750 Mbps Wifi Güçlendirici</t>
  </si>
  <si>
    <t>TP-Link Deco BE22 (2-Pack) | Wi-Fi 7 Mesh Sistemi | BE3600 Mbps | Fiber Uyumlu | Çift Bant | AI-Roaming | 2 Adet Gigabit Port | 200 Cihaz | WPA3 | VPN | Mobil Uygulama ile Kolay Kurulum</t>
  </si>
  <si>
    <t>Tapo C660 KIT | 4K 8MP Güneş Enerjili Güvenlik Kamerası Kiti | 360° AI Takip | Çift Bant Wi-Fi | Starlight Renkli Gece Görüşü | Kişi/Evcil Hayvan/Araç Algılama |18x Zoom | 10000mAh Pil</t>
  </si>
  <si>
    <t>TP-Link Archer GE800, BE19000 Mbps, Fiber Destekli, 2× 10 Gbps WAN/LAN Port + 4× 2.5 Gbps Port, 6GHz 320 MHz Kanalı, VPN Destekli, Easy Mesh Uyumlu, HomeSheild, Tri-Band Wi-Fi 7 Router</t>
  </si>
  <si>
    <t>TP-Link Deco BE22 (3-Pack) | Wi-Fi 7 Mesh Sistemi | BE3600 Mbps | Fiber Uyumlu | Çift Bant | AI-Roaming | 2 Adet Gigabit Port | 200 Cihaz | WPA3 | VPN | Mobil Uygulama ile Kolay Kurulum</t>
  </si>
  <si>
    <t>Tp-Link RE700X AX3000 Mbps Onemesh Wi-Fi 6 Menzil Genişletici</t>
  </si>
  <si>
    <t>TP-Link Tapo H110 | Akıllı IR + IoT Hub | Kızılötesi Cihaz Kontrolü | 8000+ Marka Uyumu | Matter Sertifikalı | Sesli Komut | Otomasyon &amp; Mobil Erişim</t>
  </si>
  <si>
    <t>Mercusys Halo H25BE(2-pack) | Wi-Fi 7 Mesh Sistemi | BE3600 Mbps Hız | Fiber Uyumlu | Dual-Band | 3x1G Port | 460 m² Kapsama | MLO | 320 MHz, 4K-QAM | 8K Yayın | Kolay Kurulum ve Kullanım</t>
  </si>
  <si>
    <t>Tapo L520E, Akıllı Wi-Fi Ampulü, Gün Işığı</t>
  </si>
  <si>
    <t>Tp-link TL-WN781ND, 150Mbps Kablosuz PCI Express Adaptör</t>
  </si>
  <si>
    <t>TP-Link Archer AX72, AX5400 Dual-Band Gigabit Wi-Fi 6 Router</t>
  </si>
  <si>
    <t>Tapo RV20 Max, 5300Pa Emiş Gücü, 83mm İnce Tasarım, MagSlim LİDAR Navigasyon, Tapo IQ, Halıyı Islatmaz, Yüksek Vakum Güçlü Robot Süpürge ve Paspas</t>
  </si>
  <si>
    <t>TP-Link Tapo T30 KIT - Akıllı Ev Sensörleri Başlangıç Kiti, Akıllı Hub, Hareket Sensörü, 2* Kapı/Pencere Kontak Sensörü</t>
  </si>
  <si>
    <t>TP-Link ER605; Omada Gigabit VPN Router</t>
  </si>
  <si>
    <t>TP-Link Rapo RVA410 - Su Geçirmez Robot Süpürge Matı, RV30 Max &amp; RV20 Max İle Uyumlu, Parke ya da Halılarınızı Neme ve Islak Silme Pedlerine Karşı Korur</t>
  </si>
  <si>
    <t>Tp-Link Archer Vr900 V Ac1900 Çift Vdsl2 Modemrouter</t>
  </si>
  <si>
    <t>Tapo C260 | Akıllı Wi-Fi Güvenlik Kamerası | 4K 8MP | Yüz Tanıma | AI Algılama | Gelişmiş Gece Görüşü | Fiziksel Gizlilik | 360° Görüntüleme | Çift Yönlü Ses | microSD &amp; Bulut Destekli</t>
  </si>
  <si>
    <t>TP-Link Deco BE25 2-pack, BE3600 Mbps, 2× 2.5 Gbps Portlar, AI Destekli Çoklu İşlem Kabiliyeti, 150 Cihaza Kadar Bağlanılabilirlik, VPN, WPA3, Dual-Band Wi-Fi 7 Mesh Sistemi</t>
  </si>
  <si>
    <t>Tapo C100, 1080P Full HD İç Mekan Wi-Fi Güvenlik Kamerası, Hareket Tespit ve Takibi, 9m Gece Görüşü, Çift Yönlü Sesli İletişim, Sesli Alarm, Bulut/Yerel Depolama</t>
  </si>
  <si>
    <t>TP-Link RE450, AC1750 Mbps OneMesh Wi-Fi Menzil Genişletici, 1 Gigabit Bağlantı Noktası ve 3 Harici Anten, Access Point Modu ile Wi-Fi Güçlendirici/Hotspot</t>
  </si>
  <si>
    <t>TP-Link TD-W9970 4 Port VDSL Modem + Router</t>
  </si>
  <si>
    <t>TP-Link TL-POE150S, PoE Enjektör</t>
  </si>
  <si>
    <t>Tapo A200, Güvenlik Kamerası İçin 360° Ayarlanabilir Montajlı IP65 Sertifikalı Su ve Toz Geçirmez 4,5W'a Kadar Şarj Gücü 4m Şarj Kablolu Güneş Paneli</t>
  </si>
  <si>
    <t>TP-Link Archer C80, AC1900 Mbps Kablosuz MU-MIMO Wi-Fi Router, 4 Gigabit LAN Bağlantı Noktası, Beamforming, WPA3, Ebeveyn Denetimleri</t>
  </si>
  <si>
    <t>TP-Link Tapo H500 | Akıllı Ev Merkezi &amp; CentralHub | 16GB Dahili Depolama, AI Yüz Tanıma, 64 Sensör ve 16 Kamera Desteği | 2.5" SATA HDD/SSD Desteği | HDMI Video Çıkışı</t>
  </si>
  <si>
    <t>TP-Link UC400, Yüksek Hızda 3.0 USB-C - USB-A Adaptör</t>
  </si>
  <si>
    <t>Mercusys MT115 | 4G LTE Mobil Wi-Fi 6 Taşınabilir Modem | 150 Mbps 4G Hızı | 2400 mAh Pil ile 10 Saat Kullanım | Bilgi Ekranlı | 10 Cihaz Desteği | SIM Girişli Cep Wi-Fi | Mercusys App Kontrol</t>
  </si>
  <si>
    <t>Mercusys MC210 | 2K 3MP Güvenlik Wi-Fi Kamerası | 360° Görüş | Gece Görüşü | Akıllı Hareket &amp; Kişi Algılama | Çift Yönlü Ses | microSD &amp; Bulut Depolama | SmartThings, Alexa, Google Assistant Uyumlu</t>
  </si>
  <si>
    <t>TP-Link TC82 KIT, 2K 3MP, Renkli Gece Görüşü, Şarj Edilebilir, IP65 Sertifikalı, Yerel/Bulut Depolama, 110° Açılı, Güneş Paneli Dahil, Kablosuz Bataryalı Güvenlik Kamerası Kiti</t>
  </si>
  <si>
    <t>TP-Link Deco X60 3-pack, AX5400 Mbps, 1 GHz Dört Çekirdekli CPU, WPA3, OFDMA ve MU-MIMO, 150 Cihaza Kadar Bağlantı, 650 m²'ye Kadar Kapsama, Mobil Uygulama ile Kolay Kurulum, Wi-Fi 6 Mesh Sistemi</t>
  </si>
  <si>
    <t>TP-Link TL-PA7017P KIT, AV1000 Gigabit Passthrough Powerline Başlangıç Kiti</t>
  </si>
  <si>
    <t>TP-Link TL-SF1008D 8-Portlu 10/100Mbps Masaüstü Switch</t>
  </si>
  <si>
    <t>Tapo RVA301 yıkanabilir paspas bezi (5 adet), Tapo RV30 Max Plus, Tapo RV30 Max, Tapo RV20 Max Plus, Tapo RV20 Max ile uyumlu</t>
  </si>
  <si>
    <t>TL-PA8033P KIT, AV1300 3-Port Gigabit Passthrough Powerline Starter Kit</t>
  </si>
  <si>
    <t>TP-Link TL-WA854RE N300 Mbps Wi-Fi Menzil Genişletici, 300Mbps Veri Aktarım Hızı</t>
  </si>
  <si>
    <t>TP-Link Deco BE25 3-pack, BE3600 Mbps, 2× 2.5 Gbps Portlar, AI Destekli Çoklu İşlem Kabiliyeti, 150 Cihaza Kadar Bağlanılabilirlik, VPN, WPA3, Dual-Band Wi-Fi 7 Mesh Sistemi</t>
  </si>
  <si>
    <t>Tapo A201, Güvenlik Kamerası İçin 360° Ayarlanabilir Montajlı IP65 Sertifikalı Su ve Toz Geçirmez 2,5W'a Kadar Şarj Gücü 4m Şarj Kablolu Güneş Paneli</t>
  </si>
  <si>
    <t>TP-Link TL-WR902AC, AC750 Mbps Wireless Travel Router</t>
  </si>
  <si>
    <t>TP-Link Archer C6, AC1200 Mbps Kablosuz MU-MIMO Wi-Fi Router, 4 Gigabit LAN Bağlantı Noktası, Beamforming, WPA3, Access Point Modu, Ebeveyn Denetimleri</t>
  </si>
  <si>
    <t>TP-Link RE235BE | BE3600 Wi-Fi 7 Menzil Genişletici | 3.6 Gbps Çift Bant (2882 Mbps + 688 Mbps) | 2.5G Ethernet Port | MLO Desteği | EasyMesh Uyumlu | Akıllı Dolaşım | Kolay Kurulum</t>
  </si>
  <si>
    <t>TP-Link TL-POE2412G, PoE Adaptör</t>
  </si>
  <si>
    <t>Tapo T100, Hassasiyet Kontrolü, Pil Dahil, Kolay Kurulum, Alexa ile Çalışır, Diğer Ürünleri ile Aksiyon Tetikleme, Hub Gereklidir Ayrıca Satılır, Akıllı Hareket Sensörü</t>
  </si>
  <si>
    <t>Tapo C400 | 1080p 2MP Dış Mekan Güvenlik Kamerası | 180 Gün Pil Ömrü | Kişi Algılama | Renkli Gece Görüşü | IP65 | microSD &amp; Bulut Depolama | 10000mAh Batarya</t>
  </si>
  <si>
    <t>TP-Link PG2400P KIT, G.hn2400 Priz Girişli Powerline Adaptör Kiti</t>
  </si>
  <si>
    <t>TP-Link Deco BE25 Outdoor(1-pack) | Wi-Fi 7 Mesh Sistemi | BE3600 Mbps Hız | Çift Bant | 2x 2.5G Port | IP65 Su &amp; Toz Geçirmez | MLO | AI Dolaşım | PoE Destekli</t>
  </si>
  <si>
    <t>Mercusys MA14H | AX300 Wi-Fi 6 Kablosuz USB Adaptör | Yüksek Kazançlı Anten | Dahili Sürücü Tak Çalıştır | Windows ve Linux Uyumlu | Güçlü Sinyal Alıcı | Masaüstü ve Laptop Wi-Fi Alıcı</t>
  </si>
  <si>
    <t>TP-Link TL-SG1005D, 5-Portlu Gigabit Masaüstü Switch</t>
  </si>
  <si>
    <t>TP-Link Deco X60 2-pack, AX5400 Mbps, 1 GHz Dört Çekirdekli CPU, WPA3, OFDMA ve MU-MIMO, 150 Cihaza Kadar Bağlantı, 490 m²'ye Kadar Kapsama, Mobil Uygulama ile Kolay Kurulum, Wi-Fi 6 Mesh Sistemi</t>
  </si>
  <si>
    <t>TP-Link Archer T2UB Nano, AC600 Nano Wi-Fi Bluetooth 4.2 USB Adaptör</t>
  </si>
  <si>
    <t>Mercusys MA530, Bluetooth 5.3, Nano USB Adaptör</t>
  </si>
  <si>
    <t>Tapo TP-Link RVA300, Robot Vakumlu Yıkanabilir Paspas Bezi, Yıkanabilir Paspas Bezi ×3 RV30 Plus, RV30, RV10 Plus, RV10 İçin Uygundur</t>
  </si>
  <si>
    <t>TP-Link TL-SL1226P, Bluetooth 4.0 Mini USB Adaptör</t>
  </si>
  <si>
    <t>Tapo C410 2-pack, 2K 3MP, Renkli Gece Görüşü, Şarj Edilebilir, Solar Panel Destekli, IP65, Yerel/Bulut Depolama, 110° Açılı, Işıklı ve Sesli Alarm, Kablosuz Bataryalı Güvenlik Kamerası</t>
  </si>
  <si>
    <t>TP-Link LS1005 Ethernet Çevirici 5 Port, 10/100 Mbps, Beyaz</t>
  </si>
  <si>
    <t>TP-Link LS105G, 5-Port 10/100/1000 Mbps Gigabit Ethernet Switch, 5 Bağlantılı Harici Güç Adaptörü</t>
  </si>
  <si>
    <t>TP-Link Archer TX10UB Nano | Wi-Fi 6 &amp; Bluetooth 5.3 USB Adaptör | AX900 Mbps | Çift Bant | İkisi Bir Arada | Kolay Kurulum | Windows Uyumlu</t>
  </si>
  <si>
    <t>TP-Link TL-WA1201, AC1200 Mbps Kablosuz Access Point, Pasif PoE'yi destekler, Erişim Noktasını, Menzil Genişleticiyi, Çoklu SSID'yi destekler, Artırılmış Kapsama Alanı</t>
  </si>
  <si>
    <t>Tapo TP-Link L535E, Matter Wi-Fi LED Akıllı Ampul, Çok Renkli, E27,75W 806 Amazon Alexa ve Google Home ile Çalışır, Renk Değiştirilebilir, Hub Gerekmez</t>
  </si>
  <si>
    <t>TP-Link Archer VR1200, AC1200 Mbps Wireless Dual Band Gigabit VDSL/ADSL Modem Router</t>
  </si>
  <si>
    <t>TP-Link Festa F52, AC1350Mbps, 1 Gigabit Port, Festa Mesh, Kesintisiz Dolaşım, MU-MIMO, Ücretsiz Bulut Yönetimi, PoE ve Pasif PoE Destekli, Dual-Band Wi-Fi 5 Tavan Tipi Access Point</t>
  </si>
  <si>
    <t>Tapo L630 2-pack, Akıllı Wi-Fi Spot Işığı, Ayarlanabilir Parlaklık, Çok Renkli, GU10 Lamba Tabanı, Uzaktan Kumanda, Enerji Tasarrufu, Alexa ve Google Home ile Çalışır, Hub Gerektirmez</t>
  </si>
  <si>
    <t>TP-Link UA520C, USB Type-C den 4K@60Hz HDMI Dönüştürücü</t>
  </si>
  <si>
    <t>TP-Link EAP110, 300Mbps Wireless N Tavan Montajlı Merkezi Wi-Fi yönetimli Access Point</t>
  </si>
  <si>
    <t>TP-Link TL-SG2210P, JetStream 8-Port Gigabit Smart PoE+ Switch with 2 SFP Slots</t>
  </si>
  <si>
    <t>TP-Link Archer BE800, BE19000 Mbps Tri-Band Wi-Fi 7 Router, Fiber Destekli, 2× 10 Gbps WAN/LAN Port + 4× 2.5 Gbps Port, 6GHz 160 MHz Genişliği, VPN Destekli, Easy Mesh Uyumlu, HomeSheild</t>
  </si>
  <si>
    <t>TP-Link UE302C, USB Type-C den 2.5 Gigabit Ethernet Adaptörü</t>
  </si>
  <si>
    <t>TP-Link Archer BE230, BE3600 Mbps, Fiber Destekli, 2× 2.5 Gbps WAN/LAN Port + 3× Gbps Port, VPN Destekli, HomeSheild, Easy Mesh Uyumlu, Dual-Band Wi-Fi 7 Router</t>
  </si>
  <si>
    <t>TP-Link VX230v, AX1800 Dual-Band Wi-Fi 6 Fiber Destekli VDSL/ADSL Modem Router</t>
  </si>
  <si>
    <t>Tp-link Archer T9UH, AC1900 Yüksek Kazançlı Kablosuz Çift Band USB Adaptör</t>
  </si>
  <si>
    <t>Tapo D210, 2K 3MP, Pille Çalışır, İki Yönlü Konuşma, IP64, Bulut/Yerel Depolama, Alexa ve Google Home ile Çalışır, Kolay Kurulum, Tapo Akıllı Görüntülü Renkli Gece Görüş Destekli Kapı Zili</t>
  </si>
  <si>
    <t>TP-Link TL-SG1016DE, 16-Port Gigabit Easy Smart Switch</t>
  </si>
  <si>
    <t>TP-Link Deco BE65 3-pack, BE9300 Mbps, 4 × 2.5 Gbps Portlar, 320 MHz Kanallar, 6 GHz Bandında Çalışır, 200 Cihaza Kadar Bağlanılabilirlik, VPN, WPA3, Üç Bantlı Wi-Fi 7 Mesh Sistemi</t>
  </si>
  <si>
    <t>TP-Link TL-SG3428, JetStream 24-Port Gigabit L2 Managed Switch with 4 SFP Slots</t>
  </si>
  <si>
    <t>TP-Link LS1008G Ethernet Çevirici 8 Port, 10/100/1000 Mbps</t>
  </si>
  <si>
    <t>TP-Link TL-SL1218MP, 16-Port 10/100Mbps + 2-Port Gigabit Unmanaged PoE Switch</t>
  </si>
  <si>
    <t>TP-Link Archer Air R5, AX3000 Dual-Band Wi-Fi 6 Air Router&amp;Menzil Genişletici, Gigabit Port, Ultra İnce Tasarım, EasyMesh Destekli, Xbox/PS/Steam için İdeal, HomeShield, Esnek Kurulum Seçenekleri</t>
  </si>
  <si>
    <t>TP-Link UB500 Plus, Ayarlanabilir Harici Antenli, Yüksek Çekim Güçlü Bluetooth 5.4 USB Adaptör</t>
  </si>
  <si>
    <t>TP-Link EAP115, 300Mbps Kablosuz N Tavan Tipi Access Point</t>
  </si>
  <si>
    <t>TP-Link MC210CS, Gigabit Ethernet Medya Dönüştürücü</t>
  </si>
  <si>
    <t>TP-Link EAP223 AC1350 Kablosuz MU-MIMO Gigabit Tavan Montajlı Erişim Noktası</t>
  </si>
  <si>
    <t>TP-Link TL-SM321A-2, 1000Base-BX WDM Bi-Directional SFP Module</t>
  </si>
  <si>
    <t>TP-Link Archer C9, AC1900 Mbps Kablosuz Dual Band Gigabit Access Point ve Router</t>
  </si>
  <si>
    <t>Tapo P100 2-Pack , Akıllı Mini Wi-Fi Soketi, Amazon Alexa ve Google Home ile Çalışır, Uzaktan Kontrol, Cihaz Paylaşımı, Hub Gerekmez</t>
  </si>
  <si>
    <t>TP-Link Deco X20(2-pack), AX1800 Mbps Tüm Ev Mesh Wi-Fi 6 Sistemi, 1 GHz CPU, Yapay Zeka Desteği, Gigabit Portları, 150 Cihaza Kadar Bağlanılabilirlik, 370 m²'ye Kadar Kapsama, HomeSheild</t>
  </si>
  <si>
    <t>TP-Link ER706W-4G, Omada 4G+ Cat6 AX3000 Gigabit VPN Router</t>
  </si>
  <si>
    <t>TP-Link MC200CM, Gigabit Multi-Mode Medya Dönüştürücü</t>
  </si>
  <si>
    <t>Tp-link TL-WPA9610 KIT, AV2000 Gigabit Powerline ac Wi-Fi Kit</t>
  </si>
  <si>
    <t>TP-Link Archer T2U Nano, AC600 Nano Wireless USB Adaptör</t>
  </si>
  <si>
    <t>TP-LINK Archer C50 V3 AC1200 Kablosuz Çift-yöneltici</t>
  </si>
  <si>
    <t>TP-Link MC220L, Gigabit Ethernet Medya Dönüştürücü</t>
  </si>
  <si>
    <t>Tapo TP-Link C211 2K 3MP Yatay ve Dikey Ev Güvenliği Wi-Fi Kamerası</t>
  </si>
  <si>
    <t>TP-Link RE550, AC1900 Mbps, 1 Gigabit Bağlantı Noktalı Wi-Fi Güçlendirici/Hotspot, Access Point Modu, Tüm Yönlendiriciler ile Çalışır, Wi-Fi 5 Menzil Genişletici</t>
  </si>
  <si>
    <t>TP-Link TL-SG105-M2, 5-Port 2.5G Desktop Switch</t>
  </si>
  <si>
    <t>TP-Link CPE605, 5GHz 150Mbps 23dBi Outdoor CPE</t>
  </si>
  <si>
    <t>TP-Link UB400, Bluetooth 4.0 Mini USB Adaptör</t>
  </si>
  <si>
    <t>TP-Link RE605X, AX1800 Mbps OneMesh Wi-Fi 6 Menzil Genişletici, 1 Gigabit Bağlantı Noktası ve 2 Harici Anten, Dahili Access Point Modu ile Geniş Bant/Wi-Fi Güçlendirici/Hotspot</t>
  </si>
  <si>
    <t>TP-Link Archer BE805 | Tri-Band Wi-Fi 7 Router | Fiber Destekli |BE19000 Mbps Hız | 2× 10 Gbps + 4× 1 Gbps Port | 6GHz 320 MHz Kanal | VPN Destekli | EasyMesh Uyumlu | HomeShield Güvenlik</t>
  </si>
  <si>
    <t>TP-Link Deco X10 3-pack , AX1500 Mbps, 520 m²'ye kadar Kapsama Alanı, 120 Cihaza Kadar Bağlantı, Gigabit Portlu, Mobil Uygulama ile Kolay Kurulum,Yapay Zeka Destekli Wi-Fi 6 Mesh Sistemi</t>
  </si>
  <si>
    <t>TP-Link Tapo C216 | İç ve Dış Mekan Wi-Fi Güvenlik Kamerası | 2K 3MP Netlik | 360° Pan/Tilt Hareketli | Renkli Gece Görüşü | AI Bebek Ağlaması ve Kişi Algılama | Akıllı Takip | Bulut/SD Kart Depolama</t>
  </si>
  <si>
    <t>Tapo L610, Akıllı Wi-Fi Spot Işığı, Ayarlanabilir Parlaklık, GU10 Lamba Tabanı, Uzaktan Kumanda, Enerji Tasarrufu, Alexa ve Google Home ile Çalışır, Hub Gerektirmez</t>
  </si>
  <si>
    <t>TP-Link RE205, AC750 Wi-Fi Menzil Genişletici, 2 Harici Anten ve 1 Ethernet Bağlantı Noktalı Wi-Fi Güçlendirici/Hotspot, Access Point Modu, Tüm Wi-Fi Yönlendiriciler ile Çalışır</t>
  </si>
  <si>
    <t>TP-Link TL-MR100, N300 Mbps Kablosuz 4G LTE Router, 4G/3G SIM Yuvası, 32 Cihaza Kadar Bağlantı, Yapılandırma Gerektirmez, Konuk Ağı ve Ebeveyn Kontrolü Desteği</t>
  </si>
  <si>
    <t>TP-Link RE600X, AX1800 Mbps OneMesh Wi-Fi 6 Menzil Genişletici, 1 Gigabit Bağlantı Noktası, Dahili Access Point Modu ile Geniş Bant/Wi-Fi Güçlendirici/Hotspot</t>
  </si>
  <si>
    <t>TP-Link Deco X10 2-pack, AX1500 Mbps, 360 m²'ye kadar Kapsama Alanı, 120 Cihaza Kadar Bağlantı, Gigabit Portlu, Mobil Uygulama ile Kolay Kurulum,Yapay Zeka Destekli Wi-Fi 6 Mesh Sistemi</t>
  </si>
  <si>
    <t>TP-Link TL-SG116P, 16-Port Gigabit Desktop Switch with 16-Port PoE+</t>
  </si>
  <si>
    <t>TP-Link TL-WN821N, 300 Mbps N Kablosuz WPS USB Adaptör</t>
  </si>
  <si>
    <t>TP-Link TL-SG105E, 5-Portlu Gigabit Easy Smart Switch</t>
  </si>
  <si>
    <t>TP-Link PGW2440 KIT, G.hn2400 Powerline AX1800 Wi-Fi 6 Kit</t>
  </si>
  <si>
    <t>TP-Link Tapo P110M | Akıllı WiFi Priz 16A | Enerji Ölçer | Matter Destekli | Alexa &amp; Google Home Uyumlu | Uzaktan Kontrol | Zamanlayıcı &amp; Otomasyon | Güvenli Kullanım | Kolay Kurulum</t>
  </si>
  <si>
    <t>TP-Link RE200 AC750 Range Extender, RE200_AC750</t>
  </si>
  <si>
    <t>Tapo P115, Mini Akıllı Wi-Fi Soketi, Enerji İzleme, 1-pack</t>
  </si>
  <si>
    <t>TP-Link UH400, 5Gbps Transfer Hızlı Tak ve kullan 4-Port USB 3.0 Hub</t>
  </si>
  <si>
    <t>TP-Link TL-WN823N 300Mbps Wi-Fi Mini USB Adaptör</t>
  </si>
  <si>
    <t>TP-Link Deco M4 1-pack, AC1200 Mbps, Dual-Band, Gigabit Portları, 100 Cihaza Kadar Bağlanılabilirlik, Mobil Uygulama ile Kolay Kurulum, Wi-Fi 5 Mesh Sistemi</t>
  </si>
  <si>
    <t>TP-Link DECO S7 2-Pack Dual-band 2.4 GHz/5 GHz Wi-Fi 5 802.AC1900 260 2.80</t>
  </si>
  <si>
    <t>TP-Link Deco XE75(3-pack), AXE5400 Tri-Band Mesh Wi-Fi 6E Sistemi, 6GHZ ve 160MHZ, WPA3 Koruması, Gigabit Portları, 200 Cihaza Kadar Bağlanılabilirlik, 670 m²'ye kadar kapsama, Yapay Zeka Desteği</t>
  </si>
  <si>
    <t>TP-Link UH720, 7-Port 5Gbps 2 Adet Şarj Portu USB 3.0 Çoklayıcı</t>
  </si>
  <si>
    <t>TP-Link TL-POE200, Power over Ethernet Adaptör Kiti</t>
  </si>
  <si>
    <t>Mercusys MA72XH | AX1800 Wi-Fi 6 Kablosuz USB Adaptör | 1800 Mbps Çift Bant (1201 Mbps 5GHz + 574 Mbps 2.4GHz) | Çift Anten| USB 3.0|Dahili Sürücü|MU-MIMO &amp; OFDMA|WPA3 Güvenlik | Windows 10/11</t>
  </si>
  <si>
    <t>TP-Link Tapo C501GW | 4G LTE Dış Mekan Güvenlik Kamerası | 360° Görüntüleme | 1080P Full HD | Renkli Gece Görüşü | IP66 | AI Algılama | Alarm | PoE Desteği | microSD &amp; Bulut Destekli</t>
  </si>
  <si>
    <t>TP-Link Archer T3U, AC1300 Mbps, Çift Bant, USB 2.0, Nano Wi-Fi 5 USB Adaptör</t>
  </si>
  <si>
    <t>TP-Link TL-PA7010KIT, AV1000 Gigabit Powerline Başlangıç Kiti</t>
  </si>
  <si>
    <t>Tp-link CPE210, 300Mbps 9dBi Dış Mekan CPE</t>
  </si>
  <si>
    <t>Tapo C560WS | 4K 8MP Dış Mekan Wi-Fi 6 Güvenlik Kamerası | Yerel Yüz Tanıma | AI İnsan/Evcil Hayvan/Araç Algılama | Starlight Renkli Gece Görüşü | IP66 Su Geçirmez | microSD &amp; Bulut Depolama</t>
  </si>
  <si>
    <t>TP-Link Deco S7 1-pack, AC1900 Mbps, Dual-Band, Gigabit Portları, 100'den Fazla Cihaz Bağlantısı, Mobil Uygulama ile Kolay Kurulum, Wi-Fi 5 Mesh Sistemi</t>
  </si>
  <si>
    <t>TP-Link RE365, 1200 Mbps AC Wi-Fi Priz Soketli Menzil Genişletici</t>
  </si>
  <si>
    <t>Tapo C310, 2K 3MP Dış Mekan Wi-Fi/Ethernet Güvenlik Kamerası, Hareket Algılama, IP66 Su Geçirmez, 30m Gece Görüşü, Çift Yönlü Ses, Bulut/Yerel Depolama, Sesli ve Işıklı Alarm</t>
  </si>
  <si>
    <t>TP-Link Archer TBE230U | BE3600 Wi-Fi 7 Kablosuz USB Adaptör | 3600 Mbps Çift Bant | USB-C ve USB-A Bağlantı | Wi-Fi 7 MLO Teknolojisi | USB 3.0 | WPA3 Güvenlik | Windows 11/10 Tak Çalıştır</t>
  </si>
  <si>
    <t>TP-Link ‎TL-FC311A-20, Gigabit WDM Media Dönüştürücü</t>
  </si>
  <si>
    <t>Tapo H200, MicroSD Kart Destekli Akıllı HUB, Tapo Akıllı Anahtar, Düğme ve Sensörle Çalışır, 64 Cihaz + 4 Kapı Zili/Kamera Bağlanabilir, 19 Zil Sesi Seçeneği, Kablolama Gerekmez</t>
  </si>
  <si>
    <t>TP-Link Archer MR600, 4G+ Cat6 AC1200 Mbps Wireless Dual-Band Gigabit Router, 4G/3G SIM Yuvası, MU-MIMO Teknolojisi, Yapılandırma Gerektirmez, Konuk Ağı ve Ebeveyn Kontrolü Desteği</t>
  </si>
  <si>
    <t>Mercusys Halo H37BE(2-pack) | Wi-Fi 7 Mesh Sistemi | BE6500 Mbps Hız | Fiber Uyumlu | Dual-Band | 2× 2.5G Port | 4K-QAM | MLO| 650 m² Kapsama | Mobil Uygulama ile Kolay Kurulum – Güçlü ve Hızlı Ev Ağı</t>
  </si>
  <si>
    <t>TP-Link Archer AX95, AX7800 Tri-Band 8-Stream Wi-Fi 6 Router</t>
  </si>
  <si>
    <t>TP-Link Archer MR200, AC750 Mbps Kablosuz Dual Band 3G/4G LTE Router, Çift Bantlı</t>
  </si>
  <si>
    <t>TP-Link UA440C, USB 3.0 Type-C - SD ve microSD 4.0 Kart Okuyucu</t>
  </si>
  <si>
    <t>TP-Link RE500X, AX1500 Mbps OneMesh Wi-Fi 6 Menzil Genişletici, Geniş Bant/Wi-Fi Genişletici, 1 Gigabit Bağlantı Noktası ile Güçlendirici/Hotspot, Dahili Erişim Noktası Modu</t>
  </si>
  <si>
    <t>TP-Link Archer AX55 Pro, AX3000 Mbps 2.5G Portlı Multi-Gigabit Wi-Fi 6 Router</t>
  </si>
  <si>
    <t>TP-Link TL-WR850N, 300 Mbps Kablosuz 4 Portlu Menzil Genişletici/Access Point/Router</t>
  </si>
  <si>
    <t>TP-LINK TL-SG1008P 8X Port Masaüstü 4xPoE</t>
  </si>
  <si>
    <t>TP-Link M7000, 4G LTE Mobil Wi-Fi Router</t>
  </si>
  <si>
    <t>Tapo C400S2, 1080P Full HD Kablosuz Bataryalı Güvenlik Kamerası, Yapay Zeka Desteği, Gece Görüşü, 180 Gün Şarj Süresi, Su Geçirmez, Yerel/Bulut Depolama, Sesli Alarm, Solar Panel Desteği + HUB</t>
  </si>
  <si>
    <t>TP-Link KE100 Kasa Akıllı Termostatik Radyatör Vanası |Hassas Sıcaklık Kontrol| Geofencing | Alexa &amp; Google Assistant &amp; Siri | Uzaktan Kontrol (Hub Gerekli) | Açık Pencere Algılama | Donma Koruması</t>
  </si>
  <si>
    <t>TP-Link M7200, 4G LTE Mobil Wi-Fi Router</t>
  </si>
  <si>
    <t>Tapo C410 KIT Solar Güvenlik Kamerası Dış Pil, 2K 3 MP, Renkli Gece Görüşü, MicroSD Bellek, 6400 mAh Çıkarılamaz Pil, İki Yönlü Ses, Kişi Tanıma, Alexa&amp;Google Assistant, 2,4 GHz</t>
  </si>
  <si>
    <t>Tapo L920-5, Wi-Fi Uygulama Kontrolü RGBW Çok Renkli LED Şerit, PU Kaplama, Müzikle Senkronizasyon, Alexa ve Google Home ve Apple HomeKit ile Çalışır, Çok Renkli Akıllı Wi-Fi Şerit Led</t>
  </si>
  <si>
    <t>Tapo C222, 2K 4MP, Yapay Zeka Desteği, Hareket Takibi, 360°, 9m Gece Görüşü, Çift Yönlü Sesli İletişim, Bulut/Yerel Depolama, Bebek Ağlaması Tespiti,İç Mekan Wi-Fi/Ethernet Güvenlik Kamerası</t>
  </si>
  <si>
    <t>TP-Link LS1016G; 16-Port Gigabit Portlu, Metal Kasalı, QoS Özellikli, Kurulum Gerektirmeyen Tak ve Çalıştır Özellikli Switch</t>
  </si>
  <si>
    <t>TP-Link TL-WA1801, AX1800 Çift Bantlı Gigabir Portlu Wi-Fi 6 Access Point, Pasif PoE'yi destekler, Erişim Noktasını, Menzil Genişleticiyi, Çoklu SSID'yi destekler, Artırılmış Kapsama Alanı</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</si>
</sst>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formatCode="[black] #,##0; [red](#,##0); 0;" numFmtId="164"/>
    <numFmt formatCode="[black] #,##0.00; [red](#,##0.00); 0.00;" numFmtId="165"/>
    <numFmt formatCode="[black] #,##0.##; [red](#,##0.##); 0.00;" numFmtId="166"/>
    <numFmt formatCode="[black] #,##0.00%; [red](#,##0.00%); 0.00%;" numFmtId="167"/>
    <numFmt formatCode="yyyy-mm-dd" numFmtId="168"/>
  </numFmts>
  <fonts count="4">
    <font>
      <sz val="11"/>
      <color theme="1" rgb="FF000000"/>
      <name val="Calibri"/>
      <family val="2"/>
      <scheme val="minor"/>
    </font>
    <font>
      <sz val="11"/>
      <color rgb="FF000000"/>
      <name val="Calibri"/>
      <b/>
    </font>
    <font>
      <sz val="11"/>
      <color rgb="FF007587"/>
      <name val="Calibri"/>
      <u val="single"/>
    </font>
    <font>
      <sz val="11"/>
      <color rgb="FF000000"/>
      <name val="Calibri"/>
      <b/>
      <u val="none"/>
    </font>
  </fonts>
  <fills count="3">
    <fill>
      <patternFill patternType="none"/>
    </fill>
    <fill>
      <patternFill patternType="gray125"/>
    </fill>
    <fill>
      <patternFill patternType="solid">
        <fgColor rgb="FFf7f7f8"/>
      </patternFill>
    </fill>
  </fills>
  <borders count="2">
    <border>
      <left/>
      <right/>
      <top/>
      <bottom/>
      <diagonal/>
    </border>
    <border>
      <left>
        <color rgb="FF000000"/>
      </left>
      <right>
        <color rgb="FF000000"/>
      </right>
      <top>
        <color rgb="FF000000"/>
      </top>
      <bottom style="thin">
        <color rgb="FF000000"/>
      </bottom>
      <diagonal>
        <color rgb="FF000000"/>
      </diagonal>
    </border>
  </borders>
  <cellStyleXfs count="1">
    <xf borderId="0" fillId="0" fontId="0" numFmtId="0"/>
  </cellStyleXfs>
  <cellXfs count="20">
    <xf borderId="0" fillId="0" fontId="0" numFmtId="0" xfId="0"/>
    <xf borderId="0" fillId="0" fontId="0" numFmtId="0" xfId="0"/>
    <xf applyBorder="1" applyFill="1" borderId="1" fillId="2" applyFont="1" fontId="1" numFmtId="0" xfId="0"/>
    <xf applyBorder="1" applyFill="1" borderId="1" fillId="2" applyFont="1" fontId="1" numFmtId="0" xfId="0"/>
    <xf borderId="0" fillId="0" fontId="0" applyNumberFormat="1" numFmtId="164" xfId="0"/>
    <xf borderId="0" fillId="0" fontId="0" applyNumberFormat="1" numFmtId="165" xfId="0"/>
    <xf borderId="0" fillId="0" fontId="0" applyNumberFormat="1" numFmtId="166" xfId="0"/>
    <xf borderId="0" fillId="0" fontId="0" applyNumberFormat="1" numFmtId="167" xfId="0"/>
    <xf borderId="0" fillId="0" fontId="0" applyNumberFormat="1" numFmtId="168" xfId="0"/>
    <xf borderId="0" fillId="0" applyFont="1" fontId="2" numFmtId="0" xfId="0"/>
    <xf applyBorder="1" borderId="1" fillId="0" applyFont="1" fontId="3" numFmtId="0" xfId="0"/>
    <xf applyBorder="1" borderId="1" fillId="0" applyFont="1" fontId="3" numFmtId="0" xfId="0"/>
    <xf applyBorder="1" borderId="1" fillId="0" applyFont="1" fontId="3" numFmtId="0" xfId="0"/>
    <xf applyBorder="1" borderId="1" fillId="0" applyFont="1" fontId="3" applyNumberFormat="1" numFmtId="164" xfId="0"/>
    <xf applyBorder="1" borderId="1" fillId="0" applyFont="1" fontId="3" applyNumberFormat="1" numFmtId="167" xfId="0"/>
    <xf applyBorder="1" borderId="1" fillId="0" applyFont="1" fontId="3" applyNumberFormat="1" numFmtId="166" xfId="0"/>
    <xf borderId="0" fillId="0" applyFont="1" fontId="2" numFmtId="0" xfId="0"/>
    <xf borderId="0" fillId="0" fontId="0" applyNumberFormat="1" numFmtId="164" xfId="0"/>
    <xf borderId="0" fillId="0" fontId="0" applyNumberFormat="1" numFmtId="167" xfId="0"/>
    <xf borderId="0" fillId="0" fontId="0" applyNumberFormat="1" numFmtId="166" xfId="0"/>
  </cellXfs>
  <cellStyles count="1">
    <cellStyle builtinId="0" name="Normal" xfId="0"/>
  </cellStyles>
  <tableStyles count="0" defaultPivotStyle="PivotStyleLight16" defaultTableStyle="TableStyleMedium2"/>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theme" Target="theme/theme1.xml"/>
<Relationship Id="rId3" Type="http://schemas.openxmlformats.org/officeDocument/2006/relationships/styles" Target="styles.xml"/>
<Relationship Id="rId4" Type="http://schemas.openxmlformats.org/officeDocument/2006/relationships/sharedStrings" Target="sharedString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satMod val="105000"/>
                <a:lumMod val="110000"/>
                <a:tint val="67000"/>
              </a:schemeClr>
            </a:gs>
            <a:gs pos="50000">
              <a:schemeClr val="phClr">
                <a:satMod val="103000"/>
                <a:lumMod val="105000"/>
                <a:tint val="73000"/>
              </a:schemeClr>
            </a:gs>
            <a:gs pos="100000">
              <a:schemeClr val="phClr">
                <a:satMod val="109000"/>
                <a:lumMod val="105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satMod val="120000"/>
                <a:lumMod val="99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satMod val="150000"/>
                <a:lumMod val="102000"/>
                <a:tint val="93000"/>
                <a:shade val="98000"/>
              </a:schemeClr>
            </a:gs>
            <a:gs pos="50000">
              <a:schemeClr val="phClr">
                <a:satMod val="130000"/>
                <a:lumMod val="103000"/>
                <a:tint val="98000"/>
                <a:shade val="90000"/>
              </a:schemeClr>
            </a:gs>
            <a:gs pos="100000">
              <a:schemeClr val="phClr">
                <a:satMod val="120000"/>
                <a:shade val="63000"/>
              </a:schemeClr>
            </a:gs>
          </a:gsLst>
          <a:lin ang="5400000" scaled="0"/>
        </a:gradFill>
      </a:bgFillStyleLst>
    </a:fmtScheme>
  </a:themeElements>
  <a:objectDefaults/>
  <a:extraClrSchemeLst/>
</a:theme>
</file>

<file path=xl/worksheets/sheet1.xml><?xml version="1.0" encoding="utf-8"?>
<worksheet xmlns:r="http://schemas.openxmlformats.org/officeDocument/2006/relationships" xmlns="http://schemas.openxmlformats.org/spreadsheetml/2006/main">
  <sheetPr>
    <outlinePr summaryBelow="0"/>
  </sheetPr>
  <sheetFormatPr baseColWidth="10" defaultRowHeight="16"/>
  <cols>
    <col min="1" max="1" width="50" hidden="0" bestFit="0" customWidth="1"/>
    <col min="2" max="2" width="50" hidden="0" bestFit="0" customWidth="1"/>
    <col min="3" max="3" width="28" hidden="0" bestFit="0" customWidth="1"/>
    <col min="4" max="4" width="28" hidden="0" bestFit="0" customWidth="1"/>
    <col min="5" max="5" width="28" hidden="0" bestFit="0" customWidth="1"/>
    <col min="6" max="6" width="28" hidden="0" bestFit="0" customWidth="1"/>
    <col min="7" max="7" width="28" hidden="0" bestFit="0" customWidth="1"/>
    <col min="8" max="8" width="28" hidden="0" bestFit="0" customWidth="1"/>
    <col min="9" max="9" width="28" hidden="0" bestFit="0" customWidth="1"/>
    <col min="10" max="10" width="28" hidden="0" bestFit="0" customWidth="1"/>
    <col min="11" max="11" width="28" hidden="0" bestFit="0" customWidth="1"/>
  </cols>
  <sheetData>
    <row r="1" hidden="0" ht="15" customHeight="1" spans="1:1">
      <c r="A1" t="s" s="3">
        <v>0</v>
      </c>
      <c r="B1" t="s" s="3">
        <v>1</v>
      </c>
      <c r="C1" t="s" s="3">
        <v>2</v>
      </c>
      <c r="D1" t="s" s="3">
        <v>3</v>
      </c>
      <c r="E1" t="s" s="3">
        <v>4</v>
      </c>
      <c r="F1" t="s" s="3">
        <v>5</v>
      </c>
      <c r="G1" t="s" s="3">
        <v>6</v>
      </c>
      <c r="H1" t="s" s="3">
        <v>7</v>
      </c>
      <c r="I1" t="s" s="3">
        <v>8</v>
      </c>
      <c r="J1" t="s" s="3">
        <v>9</v>
      </c>
      <c r="K1" t="s" s="3">
        <v>10</v>
      </c>
    </row>
    <row r="2" hidden="0" ht="15" customHeight="1" spans="1:1">
      <c r="A2" t="s" s="11">
        <v>11</v>
      </c>
      <c r="B2" t="s" s="12">
        <v/>
      </c>
      <c r="C2" t="s" s="12">
        <v/>
      </c>
      <c r="D2" t="n" s="13">
        <v>0</v>
      </c>
      <c r="E2" t="n" s="13">
        <v>41070</v>
      </c>
      <c r="F2" t="n" s="13">
        <v>0</v>
      </c>
      <c r="G2" t="n" s="13">
        <v>0</v>
      </c>
      <c r="H2" t="n" s="13">
        <v>0</v>
      </c>
      <c r="I2" t="n" s="14">
        <v>0.0281</v>
      </c>
      <c r="J2" t="n" s="13">
        <v>2083</v>
      </c>
      <c r="K2" t="n" s="15">
        <v>3105990.65</v>
      </c>
    </row>
    <row r="3" hidden="0" ht="15" customHeight="1" spans="1:1">
      <c r="A3" t="str" s="16">
        <f>HYPERLINK("https://amazon.com/dp/B0741FDDZX", "B0741FDDZX")</f>
      </c>
      <c r="B3" t="s">
        <v>12</v>
      </c>
      <c r="C3" t="s">
        <v>13</v>
      </c>
      <c r="D3" t="n" s="17">
        <v>0</v>
      </c>
      <c r="E3" t="n" s="17">
        <v>0</v>
      </c>
      <c r="F3" t="n" s="17">
        <v>0</v>
      </c>
      <c r="G3" t="n" s="17">
        <v>0</v>
      </c>
      <c r="H3" t="n" s="17">
        <v>0</v>
      </c>
      <c r="I3" t="n" s="18">
        <v>0</v>
      </c>
      <c r="J3" t="n" s="17">
        <v>0</v>
      </c>
      <c r="K3" t="n" s="19">
        <v>0</v>
      </c>
    </row>
    <row r="4" hidden="0" ht="15" customHeight="1" spans="1:1">
      <c r="A4" t="str" s="16">
        <f>HYPERLINK("https://amazon.com/dp/B0073RW6Q4", "B0073RW6Q4")</f>
      </c>
      <c r="B4" t="s">
        <v>14</v>
      </c>
      <c r="C4" t="s">
        <v>13</v>
      </c>
      <c r="D4" t="n" s="17">
        <v>0</v>
      </c>
      <c r="E4" t="n" s="17">
        <v>20</v>
      </c>
      <c r="F4" t="n" s="17">
        <v>0</v>
      </c>
      <c r="G4" t="n" s="17">
        <v>0</v>
      </c>
      <c r="H4" t="n" s="17">
        <v>0</v>
      </c>
      <c r="I4" t="n" s="18">
        <v>0</v>
      </c>
      <c r="J4" t="n" s="17">
        <v>0</v>
      </c>
      <c r="K4" t="n" s="19">
        <v>0</v>
      </c>
    </row>
    <row r="5" hidden="0" ht="15" customHeight="1" spans="1:1">
      <c r="A5" t="str" s="16">
        <f>HYPERLINK("https://amazon.com/dp/B0FC2KK4KZ", "B0FC2KK4KZ")</f>
      </c>
      <c r="B5" t="s">
        <v>15</v>
      </c>
      <c r="C5" t="s">
        <v>16</v>
      </c>
      <c r="D5" t="n" s="17">
        <v>0</v>
      </c>
      <c r="E5" t="n" s="17">
        <v>0</v>
      </c>
      <c r="F5" t="n" s="17">
        <v>0</v>
      </c>
      <c r="G5" t="n" s="17">
        <v>0</v>
      </c>
      <c r="H5" t="n" s="17">
        <v>0</v>
      </c>
      <c r="I5" t="n" s="18">
        <v>0</v>
      </c>
      <c r="J5" t="n" s="17">
        <v>0</v>
      </c>
      <c r="K5" t="n" s="19">
        <v>0</v>
      </c>
    </row>
    <row r="6" hidden="0" ht="15" customHeight="1" spans="1:1">
      <c r="A6" t="str" s="16">
        <f>HYPERLINK("https://amazon.com/dp/B09T74F8Z9", "B09T74F8Z9")</f>
      </c>
      <c r="B6" t="s">
        <v>17</v>
      </c>
      <c r="C6" t="s">
        <v>13</v>
      </c>
      <c r="D6" t="n" s="17">
        <v>0</v>
      </c>
      <c r="E6" t="n" s="17">
        <v>0</v>
      </c>
      <c r="F6" t="n" s="17">
        <v>0</v>
      </c>
      <c r="G6" t="n" s="17">
        <v>0</v>
      </c>
      <c r="H6" t="n" s="17">
        <v>0</v>
      </c>
      <c r="I6" t="n" s="18">
        <v>0</v>
      </c>
      <c r="J6" t="n" s="17">
        <v>0</v>
      </c>
      <c r="K6" t="n" s="19">
        <v>0</v>
      </c>
    </row>
    <row r="7" hidden="0" ht="15" customHeight="1" spans="1:1">
      <c r="A7" t="str" s="16">
        <f>HYPERLINK("https://amazon.com/dp/B08562FQTW", "B08562FQTW")</f>
      </c>
      <c r="B7" t="s">
        <v>18</v>
      </c>
      <c r="C7" t="s">
        <v>13</v>
      </c>
      <c r="D7" t="n" s="17">
        <v>0</v>
      </c>
      <c r="E7" t="n" s="17">
        <v>0</v>
      </c>
      <c r="F7" t="n" s="17">
        <v>0</v>
      </c>
      <c r="G7" t="n" s="17">
        <v>0</v>
      </c>
      <c r="H7" t="n" s="17">
        <v>0</v>
      </c>
      <c r="I7" t="n" s="18">
        <v>0</v>
      </c>
      <c r="J7" t="n" s="17">
        <v>0</v>
      </c>
      <c r="K7" t="n" s="19">
        <v>0</v>
      </c>
    </row>
    <row r="8" hidden="0" ht="15" customHeight="1" spans="1:1">
      <c r="A8" t="str" s="16">
        <f>HYPERLINK("https://amazon.com/dp/B001802U4A", "B001802U4A")</f>
      </c>
      <c r="B8" t="s">
        <v>19</v>
      </c>
      <c r="C8" t="s">
        <v>13</v>
      </c>
      <c r="D8" t="n" s="17">
        <v>0</v>
      </c>
      <c r="E8" t="n" s="17">
        <v>0</v>
      </c>
      <c r="F8" t="n" s="17">
        <v>0</v>
      </c>
      <c r="G8" t="n" s="17">
        <v>0</v>
      </c>
      <c r="H8" t="n" s="17">
        <v>0</v>
      </c>
      <c r="I8" t="n" s="18">
        <v>0</v>
      </c>
      <c r="J8" t="n" s="17">
        <v>0</v>
      </c>
      <c r="K8" t="n" s="19">
        <v>0</v>
      </c>
    </row>
    <row r="9" hidden="0" ht="15" customHeight="1" spans="1:1">
      <c r="A9" t="str" s="16">
        <f>HYPERLINK("https://amazon.com/dp/B0CFFD1SZ1", "B0CFFD1SZ1")</f>
      </c>
      <c r="B9" t="s">
        <v>20</v>
      </c>
      <c r="C9" t="s">
        <v>13</v>
      </c>
      <c r="D9" t="n" s="17">
        <v>0</v>
      </c>
      <c r="E9" t="n" s="17">
        <v>271</v>
      </c>
      <c r="F9" t="n" s="17">
        <v>0</v>
      </c>
      <c r="G9" t="n" s="17">
        <v>0</v>
      </c>
      <c r="H9" t="n" s="17">
        <v>0</v>
      </c>
      <c r="I9" t="n" s="18">
        <v>0.051699999999999996</v>
      </c>
      <c r="J9" t="n" s="17">
        <v>14</v>
      </c>
      <c r="K9" t="n" s="19">
        <v>13252.51</v>
      </c>
    </row>
    <row r="10" hidden="0" ht="15" customHeight="1" spans="1:1">
      <c r="A10" t="str" s="16">
        <f>HYPERLINK("https://amazon.com/dp/B08QVD77Q9", "B08QVD77Q9")</f>
      </c>
      <c r="B10" t="s">
        <v>21</v>
      </c>
      <c r="C10" t="s">
        <v>13</v>
      </c>
      <c r="D10" t="n" s="17">
        <v>0</v>
      </c>
      <c r="E10" t="n" s="17">
        <v>0</v>
      </c>
      <c r="F10" t="n" s="17">
        <v>0</v>
      </c>
      <c r="G10" t="n" s="17">
        <v>0</v>
      </c>
      <c r="H10" t="n" s="17">
        <v>0</v>
      </c>
      <c r="I10" t="n" s="18">
        <v>0</v>
      </c>
      <c r="J10" t="n" s="17">
        <v>0</v>
      </c>
      <c r="K10" t="n" s="19">
        <v>0</v>
      </c>
    </row>
    <row r="11" hidden="0" ht="15" customHeight="1" spans="1:1">
      <c r="A11" t="str" s="16">
        <f>HYPERLINK("https://amazon.com/dp/B0014I4WCE", "B0014I4WCE")</f>
      </c>
      <c r="B11" t="s">
        <v>22</v>
      </c>
      <c r="C11" t="s">
        <v>13</v>
      </c>
      <c r="D11" t="n" s="17">
        <v>0</v>
      </c>
      <c r="E11" t="n" s="17">
        <v>0</v>
      </c>
      <c r="F11" t="n" s="17">
        <v>0</v>
      </c>
      <c r="G11" t="n" s="17">
        <v>0</v>
      </c>
      <c r="H11" t="n" s="17">
        <v>0</v>
      </c>
      <c r="I11" t="n" s="18">
        <v>0</v>
      </c>
      <c r="J11" t="n" s="17">
        <v>0</v>
      </c>
      <c r="K11" t="n" s="19">
        <v>0</v>
      </c>
    </row>
    <row r="12" hidden="0" ht="15" customHeight="1" spans="1:1">
      <c r="A12" t="str" s="16">
        <f>HYPERLINK("https://amazon.com/dp/B0CKPSXFMJ", "B0CKPSXFMJ")</f>
      </c>
      <c r="B12" t="s">
        <v>23</v>
      </c>
      <c r="C12" t="s">
        <v>13</v>
      </c>
      <c r="D12" t="n" s="17">
        <v>0</v>
      </c>
      <c r="E12" t="n" s="17">
        <v>273</v>
      </c>
      <c r="F12" t="n" s="17">
        <v>0</v>
      </c>
      <c r="G12" t="n" s="17">
        <v>0</v>
      </c>
      <c r="H12" t="n" s="17">
        <v>0</v>
      </c>
      <c r="I12" t="n" s="18">
        <v>0.0305</v>
      </c>
      <c r="J12" t="n" s="17">
        <v>9</v>
      </c>
      <c r="K12" t="n" s="19">
        <v>6418.98</v>
      </c>
    </row>
    <row r="13" hidden="0" ht="15" customHeight="1" spans="1:1">
      <c r="A13" t="str" s="16">
        <f>HYPERLINK("https://amazon.com/dp/B0D6W44CSR", "B0D6W44CSR")</f>
      </c>
      <c r="B13" t="s">
        <v>24</v>
      </c>
      <c r="C13" t="s">
        <v>16</v>
      </c>
      <c r="D13" t="n" s="17">
        <v>0</v>
      </c>
      <c r="E13" t="n" s="17">
        <v>126</v>
      </c>
      <c r="F13" t="n" s="17">
        <v>0</v>
      </c>
      <c r="G13" t="n" s="17">
        <v>0</v>
      </c>
      <c r="H13" t="n" s="17">
        <v>0</v>
      </c>
      <c r="I13" t="n" s="18">
        <v>0.0079</v>
      </c>
      <c r="J13" t="n" s="17">
        <v>1</v>
      </c>
      <c r="K13" t="n" s="19">
        <v>4478.33</v>
      </c>
    </row>
    <row r="14" hidden="0" ht="15" customHeight="1" spans="1:1">
      <c r="A14" t="str" s="16">
        <f>HYPERLINK("https://amazon.com/dp/B08FY4G3FN", "B08FY4G3FN")</f>
      </c>
      <c r="B14" t="s">
        <v>25</v>
      </c>
      <c r="C14" t="s">
        <v>13</v>
      </c>
      <c r="D14" t="n" s="17">
        <v>0</v>
      </c>
      <c r="E14" t="n" s="17">
        <v>7</v>
      </c>
      <c r="F14" t="n" s="17">
        <v>0</v>
      </c>
      <c r="G14" t="n" s="17">
        <v>0</v>
      </c>
      <c r="H14" t="n" s="17">
        <v>0</v>
      </c>
      <c r="I14" t="n" s="18">
        <v>0</v>
      </c>
      <c r="J14" t="n" s="17">
        <v>0</v>
      </c>
      <c r="K14" t="n" s="19">
        <v>0</v>
      </c>
    </row>
    <row r="15" hidden="0" ht="15" customHeight="1" spans="1:1">
      <c r="A15" t="str" s="16">
        <f>HYPERLINK("https://amazon.com/dp/B08QRQQ53T", "B08QRQQ53T")</f>
      </c>
      <c r="B15" t="s">
        <v>26</v>
      </c>
      <c r="C15" t="s">
        <v>16</v>
      </c>
      <c r="D15" t="n" s="17">
        <v>0</v>
      </c>
      <c r="E15" t="n" s="17">
        <v>0</v>
      </c>
      <c r="F15" t="n" s="17">
        <v>0</v>
      </c>
      <c r="G15" t="n" s="17">
        <v>0</v>
      </c>
      <c r="H15" t="n" s="17">
        <v>0</v>
      </c>
      <c r="I15" t="n" s="18">
        <v>0</v>
      </c>
      <c r="J15" t="n" s="17">
        <v>0</v>
      </c>
      <c r="K15" t="n" s="19">
        <v>0</v>
      </c>
    </row>
    <row r="16" hidden="0" ht="15" customHeight="1" spans="1:1">
      <c r="A16" t="str" s="16">
        <f>HYPERLINK("https://amazon.com/dp/B0FC2H4Q5P", "B0FC2H4Q5P")</f>
      </c>
      <c r="B16" t="s">
        <v>27</v>
      </c>
      <c r="C16" t="s">
        <v>16</v>
      </c>
      <c r="D16" t="n" s="17">
        <v>0</v>
      </c>
      <c r="E16" t="n" s="17">
        <v>0</v>
      </c>
      <c r="F16" t="n" s="17">
        <v>0</v>
      </c>
      <c r="G16" t="n" s="17">
        <v>0</v>
      </c>
      <c r="H16" t="n" s="17">
        <v>0</v>
      </c>
      <c r="I16" t="n" s="18">
        <v>0</v>
      </c>
      <c r="J16" t="n" s="17">
        <v>0</v>
      </c>
      <c r="K16" t="n" s="19">
        <v>0</v>
      </c>
    </row>
    <row r="17" hidden="0" ht="15" customHeight="1" spans="1:1">
      <c r="A17" t="str" s="16">
        <f>HYPERLINK("https://amazon.com/dp/B0DZ32G7XY", "B0DZ32G7XY")</f>
      </c>
      <c r="B17" t="s">
        <v>28</v>
      </c>
      <c r="C17" t="s">
        <v>29</v>
      </c>
      <c r="D17" t="n" s="17">
        <v>0</v>
      </c>
      <c r="E17" t="n" s="17">
        <v>0</v>
      </c>
      <c r="F17" t="n" s="17">
        <v>0</v>
      </c>
      <c r="G17" t="n" s="17">
        <v>0</v>
      </c>
      <c r="H17" t="n" s="17">
        <v>0</v>
      </c>
      <c r="I17" t="n" s="18">
        <v>0</v>
      </c>
      <c r="J17" t="n" s="17">
        <v>0</v>
      </c>
      <c r="K17" t="n" s="19">
        <v>0</v>
      </c>
    </row>
    <row r="18" hidden="0" ht="15" customHeight="1" spans="1:1">
      <c r="A18" t="str" s="16">
        <f>HYPERLINK("https://amazon.com/dp/B0G83J1Y9M", "B0G83J1Y9M")</f>
      </c>
      <c r="B18" t="s">
        <v>30</v>
      </c>
      <c r="C18" t="s">
        <v>29</v>
      </c>
      <c r="D18" t="n" s="17">
        <v>0</v>
      </c>
      <c r="E18" t="n" s="17">
        <v>39</v>
      </c>
      <c r="F18" t="n" s="17">
        <v>0</v>
      </c>
      <c r="G18" t="n" s="17">
        <v>0</v>
      </c>
      <c r="H18" t="n" s="17">
        <v>0</v>
      </c>
      <c r="I18" t="n" s="18">
        <v>0.2</v>
      </c>
      <c r="J18" t="n" s="17">
        <v>8</v>
      </c>
      <c r="K18" t="n" s="19">
        <v>9765.36</v>
      </c>
    </row>
    <row r="19" hidden="0" ht="15" customHeight="1" spans="1:1">
      <c r="A19" t="str" s="16">
        <f>HYPERLINK("https://amazon.com/dp/B0GVZ35K5H", "B0GVZ35K5H")</f>
      </c>
      <c r="B19" t="s">
        <v>31</v>
      </c>
      <c r="C19" t="s">
        <v>29</v>
      </c>
      <c r="D19" t="n" s="17">
        <v>0</v>
      </c>
      <c r="E19" t="n" s="17">
        <v>0</v>
      </c>
      <c r="F19" t="n" s="17">
        <v>0</v>
      </c>
      <c r="G19" t="n" s="17">
        <v>0</v>
      </c>
      <c r="H19" t="n" s="17">
        <v>0</v>
      </c>
      <c r="I19" t="n" s="18">
        <v>0</v>
      </c>
      <c r="J19" t="n" s="17">
        <v>0</v>
      </c>
      <c r="K19" t="n" s="19">
        <v>0</v>
      </c>
    </row>
    <row r="20" hidden="0" ht="15" customHeight="1" spans="1:1">
      <c r="A20" t="str" s="16">
        <f>HYPERLINK("https://amazon.com/dp/B0DCZY52K3", "B0DCZY52K3")</f>
      </c>
      <c r="B20" t="s">
        <v>32</v>
      </c>
      <c r="C20" t="s">
        <v>13</v>
      </c>
      <c r="D20" t="n" s="17">
        <v>0</v>
      </c>
      <c r="E20" t="n" s="17">
        <v>391</v>
      </c>
      <c r="F20" t="n" s="17">
        <v>0</v>
      </c>
      <c r="G20" t="n" s="17">
        <v>0</v>
      </c>
      <c r="H20" t="n" s="17">
        <v>0</v>
      </c>
      <c r="I20" t="n" s="18">
        <v>0.043</v>
      </c>
      <c r="J20" t="n" s="17">
        <v>22</v>
      </c>
      <c r="K20" t="n" s="19">
        <v>30123.94</v>
      </c>
    </row>
    <row r="21" hidden="0" ht="15" customHeight="1" spans="1:1">
      <c r="A21" t="str" s="16">
        <f>HYPERLINK("https://amazon.com/dp/B0CJCJ62RH", "B0CJCJ62RH")</f>
      </c>
      <c r="B21" t="s">
        <v>33</v>
      </c>
      <c r="C21" t="s">
        <v>13</v>
      </c>
      <c r="D21" t="n" s="17">
        <v>0</v>
      </c>
      <c r="E21" t="n" s="17">
        <v>139</v>
      </c>
      <c r="F21" t="n" s="17">
        <v>0</v>
      </c>
      <c r="G21" t="n" s="17">
        <v>0</v>
      </c>
      <c r="H21" t="n" s="17">
        <v>0</v>
      </c>
      <c r="I21" t="n" s="18">
        <v>0</v>
      </c>
      <c r="J21" t="n" s="17">
        <v>0</v>
      </c>
      <c r="K21" t="n" s="19">
        <v>0</v>
      </c>
    </row>
    <row r="22" hidden="0" ht="15" customHeight="1" spans="1:1">
      <c r="A22" t="str" s="16">
        <f>HYPERLINK("https://amazon.com/dp/B0CHFFPZQX", "B0CHFFPZQX")</f>
      </c>
      <c r="B22" t="s">
        <v>34</v>
      </c>
      <c r="C22" t="s">
        <v>13</v>
      </c>
      <c r="D22" t="n" s="17">
        <v>0</v>
      </c>
      <c r="E22" t="n" s="17">
        <v>85</v>
      </c>
      <c r="F22" t="n" s="17">
        <v>0</v>
      </c>
      <c r="G22" t="n" s="17">
        <v>0</v>
      </c>
      <c r="H22" t="n" s="17">
        <v>0</v>
      </c>
      <c r="I22" t="n" s="18">
        <v>0.0202</v>
      </c>
      <c r="J22" t="n" s="17">
        <v>2</v>
      </c>
      <c r="K22" t="n" s="19">
        <v>1747.05</v>
      </c>
    </row>
    <row r="23" hidden="0" ht="15" customHeight="1" spans="1:1">
      <c r="A23" t="str" s="16">
        <f>HYPERLINK("https://amazon.com/dp/B0BSFFJN93", "B0BSFFJN93")</f>
      </c>
      <c r="B23" t="s">
        <v>35</v>
      </c>
      <c r="C23" t="s">
        <v>13</v>
      </c>
      <c r="D23" t="n" s="17">
        <v>0</v>
      </c>
      <c r="E23" t="n" s="17">
        <v>6</v>
      </c>
      <c r="F23" t="n" s="17">
        <v>0</v>
      </c>
      <c r="G23" t="n" s="17">
        <v>0</v>
      </c>
      <c r="H23" t="n" s="17">
        <v>0</v>
      </c>
      <c r="I23" t="n" s="18">
        <v>0</v>
      </c>
      <c r="J23" t="n" s="17">
        <v>0</v>
      </c>
      <c r="K23" t="n" s="19">
        <v>0</v>
      </c>
    </row>
    <row r="24" hidden="0" ht="15" customHeight="1" spans="1:1">
      <c r="A24" t="str" s="16">
        <f>HYPERLINK("https://amazon.com/dp/B0C1NMYQ3W", "B0C1NMYQ3W")</f>
      </c>
      <c r="B24" t="s">
        <v>36</v>
      </c>
      <c r="C24" t="s">
        <v>16</v>
      </c>
      <c r="D24" t="n" s="17">
        <v>0</v>
      </c>
      <c r="E24" t="n" s="17">
        <v>35</v>
      </c>
      <c r="F24" t="n" s="17">
        <v>0</v>
      </c>
      <c r="G24" t="n" s="17">
        <v>0</v>
      </c>
      <c r="H24" t="n" s="17">
        <v>0</v>
      </c>
      <c r="I24" t="n" s="18">
        <v>0</v>
      </c>
      <c r="J24" t="n" s="17">
        <v>0</v>
      </c>
      <c r="K24" t="n" s="19">
        <v>0</v>
      </c>
    </row>
    <row r="25" hidden="0" ht="15" customHeight="1" spans="1:1">
      <c r="A25" t="str" s="16">
        <f>HYPERLINK("https://amazon.com/dp/B0C3CYL7LR", "B0C3CYL7LR")</f>
      </c>
      <c r="B25" t="s">
        <v>37</v>
      </c>
      <c r="C25" t="s">
        <v>13</v>
      </c>
      <c r="D25" t="n" s="17">
        <v>0</v>
      </c>
      <c r="E25" t="n" s="17">
        <v>7</v>
      </c>
      <c r="F25" t="n" s="17">
        <v>0</v>
      </c>
      <c r="G25" t="n" s="17">
        <v>0</v>
      </c>
      <c r="H25" t="n" s="17">
        <v>0</v>
      </c>
      <c r="I25" t="n" s="18">
        <v>0</v>
      </c>
      <c r="J25" t="n" s="17">
        <v>0</v>
      </c>
      <c r="K25" t="n" s="19">
        <v>0</v>
      </c>
    </row>
    <row r="26" hidden="0" ht="15" customHeight="1" spans="1:1">
      <c r="A26" t="str" s="16">
        <f>HYPERLINK("https://amazon.com/dp/B00RK5VU5M", "B00RK5VU5M")</f>
      </c>
      <c r="B26" t="s">
        <v>38</v>
      </c>
      <c r="C26" t="s">
        <v>13</v>
      </c>
      <c r="D26" t="n" s="17">
        <v>0</v>
      </c>
      <c r="E26" t="n" s="17">
        <v>0</v>
      </c>
      <c r="F26" t="n" s="17">
        <v>0</v>
      </c>
      <c r="G26" t="n" s="17">
        <v>0</v>
      </c>
      <c r="H26" t="n" s="17">
        <v>0</v>
      </c>
      <c r="I26" t="n" s="18">
        <v>0</v>
      </c>
      <c r="J26" t="n" s="17">
        <v>0</v>
      </c>
      <c r="K26" t="n" s="19">
        <v>0</v>
      </c>
    </row>
    <row r="27" hidden="0" ht="15" customHeight="1" spans="1:1">
      <c r="A27" t="str" s="16">
        <f>HYPERLINK("https://amazon.com/dp/B07FXXCWQ6", "B07FXXCWQ6")</f>
      </c>
      <c r="B27" t="s">
        <v>39</v>
      </c>
      <c r="C27" t="s">
        <v>13</v>
      </c>
      <c r="D27" t="n" s="17">
        <v>0</v>
      </c>
      <c r="E27" t="n" s="17">
        <v>27</v>
      </c>
      <c r="F27" t="n" s="17">
        <v>0</v>
      </c>
      <c r="G27" t="n" s="17">
        <v>0</v>
      </c>
      <c r="H27" t="n" s="17">
        <v>0</v>
      </c>
      <c r="I27" t="n" s="18">
        <v>0.1562</v>
      </c>
      <c r="J27" t="n" s="17">
        <v>5</v>
      </c>
      <c r="K27" t="n" s="19">
        <v>10724.1</v>
      </c>
    </row>
    <row r="28" hidden="0" ht="15" customHeight="1" spans="1:1">
      <c r="A28" t="str" s="16">
        <f>HYPERLINK("https://amazon.com/dp/B098PKP561", "B098PKP561")</f>
      </c>
      <c r="B28" t="s">
        <v>40</v>
      </c>
      <c r="C28" t="s">
        <v>13</v>
      </c>
      <c r="D28" t="n" s="17">
        <v>0</v>
      </c>
      <c r="E28" t="n" s="17">
        <v>0</v>
      </c>
      <c r="F28" t="n" s="17">
        <v>0</v>
      </c>
      <c r="G28" t="n" s="17">
        <v>0</v>
      </c>
      <c r="H28" t="n" s="17">
        <v>0</v>
      </c>
      <c r="I28" t="n" s="18">
        <v>0</v>
      </c>
      <c r="J28" t="n" s="17">
        <v>0</v>
      </c>
      <c r="K28" t="n" s="19">
        <v>0</v>
      </c>
    </row>
    <row r="29" hidden="0" ht="15" customHeight="1" spans="1:1">
      <c r="A29" t="str" s="16">
        <f>HYPERLINK("https://amazon.com/dp/B017IGEPWW", "B017IGEPWW")</f>
      </c>
      <c r="B29" t="s">
        <v>41</v>
      </c>
      <c r="C29" t="s">
        <v>13</v>
      </c>
      <c r="D29" t="n" s="17">
        <v>0</v>
      </c>
      <c r="E29" t="n" s="17">
        <v>8</v>
      </c>
      <c r="F29" t="n" s="17">
        <v>0</v>
      </c>
      <c r="G29" t="n" s="17">
        <v>0</v>
      </c>
      <c r="H29" t="n" s="17">
        <v>0</v>
      </c>
      <c r="I29" t="n" s="18">
        <v>0</v>
      </c>
      <c r="J29" t="n" s="17">
        <v>0</v>
      </c>
      <c r="K29" t="n" s="19">
        <v>0</v>
      </c>
    </row>
    <row r="30" hidden="0" ht="15" customHeight="1" spans="1:1">
      <c r="A30" t="str" s="16">
        <f>HYPERLINK("https://amazon.com/dp/B0D9MGRB15", "B0D9MGRB15")</f>
      </c>
      <c r="B30" t="s">
        <v>42</v>
      </c>
      <c r="C30" t="s">
        <v>16</v>
      </c>
      <c r="D30" t="n" s="17">
        <v>0</v>
      </c>
      <c r="E30" t="n" s="17">
        <v>0</v>
      </c>
      <c r="F30" t="n" s="17">
        <v>0</v>
      </c>
      <c r="G30" t="n" s="17">
        <v>0</v>
      </c>
      <c r="H30" t="n" s="17">
        <v>0</v>
      </c>
      <c r="I30" t="n" s="18">
        <v>0</v>
      </c>
      <c r="J30" t="n" s="17">
        <v>0</v>
      </c>
      <c r="K30" t="n" s="19">
        <v>0</v>
      </c>
    </row>
    <row r="31" hidden="0" ht="15" customHeight="1" spans="1:1">
      <c r="A31" t="str" s="16">
        <f>HYPERLINK("https://amazon.com/dp/B09X3FTL7F", "B09X3FTL7F")</f>
      </c>
      <c r="B31" t="s">
        <v>43</v>
      </c>
      <c r="C31" t="s">
        <v>13</v>
      </c>
      <c r="D31" t="n" s="17">
        <v>0</v>
      </c>
      <c r="E31" t="n" s="17">
        <v>276</v>
      </c>
      <c r="F31" t="n" s="17">
        <v>0</v>
      </c>
      <c r="G31" t="n" s="17">
        <v>0</v>
      </c>
      <c r="H31" t="n" s="17">
        <v>0</v>
      </c>
      <c r="I31" t="n" s="18">
        <v>0.065</v>
      </c>
      <c r="J31" t="n" s="17">
        <v>18</v>
      </c>
      <c r="K31" t="n" s="19">
        <v>22985</v>
      </c>
    </row>
    <row r="32" hidden="0" ht="15" customHeight="1" spans="1:1">
      <c r="A32" t="str" s="16">
        <f>HYPERLINK("https://amazon.com/dp/B00EYXKTDM", "B00EYXKTDM")</f>
      </c>
      <c r="B32" t="s">
        <v>44</v>
      </c>
      <c r="C32" t="s">
        <v>13</v>
      </c>
      <c r="D32" t="n" s="17">
        <v>0</v>
      </c>
      <c r="E32" t="n" s="17">
        <v>0</v>
      </c>
      <c r="F32" t="n" s="17">
        <v>0</v>
      </c>
      <c r="G32" t="n" s="17">
        <v>0</v>
      </c>
      <c r="H32" t="n" s="17">
        <v>0</v>
      </c>
      <c r="I32" t="n" s="18">
        <v>0</v>
      </c>
      <c r="J32" t="n" s="17">
        <v>0</v>
      </c>
      <c r="K32" t="n" s="19">
        <v>0</v>
      </c>
    </row>
    <row r="33" hidden="0" ht="15" customHeight="1" spans="1:1">
      <c r="A33" t="str" s="16">
        <f>HYPERLINK("https://amazon.com/dp/B0C5Y46J1W", "B0C5Y46J1W")</f>
      </c>
      <c r="B33" t="s">
        <v>45</v>
      </c>
      <c r="C33" t="s">
        <v>13</v>
      </c>
      <c r="D33" t="n" s="17">
        <v>0</v>
      </c>
      <c r="E33" t="n" s="17">
        <v>0</v>
      </c>
      <c r="F33" t="n" s="17">
        <v>0</v>
      </c>
      <c r="G33" t="n" s="17">
        <v>0</v>
      </c>
      <c r="H33" t="n" s="17">
        <v>0</v>
      </c>
      <c r="I33" t="n" s="18">
        <v>0</v>
      </c>
      <c r="J33" t="n" s="17">
        <v>0</v>
      </c>
      <c r="K33" t="n" s="19">
        <v>0</v>
      </c>
    </row>
    <row r="34" hidden="0" ht="15" customHeight="1" spans="1:1">
      <c r="A34" t="str" s="16">
        <f>HYPERLINK("https://amazon.com/dp/B0D5BBZGFR", "B0D5BBZGFR")</f>
      </c>
      <c r="B34" t="s">
        <v>46</v>
      </c>
      <c r="C34" t="s">
        <v>16</v>
      </c>
      <c r="D34" t="n" s="17">
        <v>0</v>
      </c>
      <c r="E34" t="n" s="17">
        <v>286</v>
      </c>
      <c r="F34" t="n" s="17">
        <v>0</v>
      </c>
      <c r="G34" t="n" s="17">
        <v>0</v>
      </c>
      <c r="H34" t="n" s="17">
        <v>0</v>
      </c>
      <c r="I34" t="n" s="18">
        <v>0.027999999999999997</v>
      </c>
      <c r="J34" t="n" s="17">
        <v>8</v>
      </c>
      <c r="K34" t="n" s="19">
        <v>18000</v>
      </c>
    </row>
    <row r="35" hidden="0" ht="15" customHeight="1" spans="1:1">
      <c r="A35" t="str" s="16">
        <f>HYPERLINK("https://amazon.com/dp/B08W4PM24H", "B08W4PM24H")</f>
      </c>
      <c r="B35" t="s">
        <v>47</v>
      </c>
      <c r="C35" t="s">
        <v>13</v>
      </c>
      <c r="D35" t="n" s="17">
        <v>0</v>
      </c>
      <c r="E35" t="n" s="17">
        <v>0</v>
      </c>
      <c r="F35" t="n" s="17">
        <v>0</v>
      </c>
      <c r="G35" t="n" s="17">
        <v>0</v>
      </c>
      <c r="H35" t="n" s="17">
        <v>0</v>
      </c>
      <c r="I35" t="n" s="18">
        <v>0</v>
      </c>
      <c r="J35" t="n" s="17">
        <v>0</v>
      </c>
      <c r="K35" t="n" s="19">
        <v>0</v>
      </c>
    </row>
    <row r="36" hidden="0" ht="15" customHeight="1" spans="1:1">
      <c r="A36" t="str" s="16">
        <f>HYPERLINK("https://amazon.com/dp/B0GVNXN5SJ", "B0GVNXN5SJ")</f>
      </c>
      <c r="B36" t="s">
        <v>48</v>
      </c>
      <c r="C36" t="s">
        <v>13</v>
      </c>
      <c r="D36" t="n" s="17">
        <v>0</v>
      </c>
      <c r="E36" t="n" s="17">
        <v>193</v>
      </c>
      <c r="F36" t="n" s="17">
        <v>0</v>
      </c>
      <c r="G36" t="n" s="17">
        <v>0</v>
      </c>
      <c r="H36" t="n" s="17">
        <v>0</v>
      </c>
      <c r="I36" t="n" s="18">
        <v>0.0052</v>
      </c>
      <c r="J36" t="n" s="17">
        <v>1</v>
      </c>
      <c r="K36" t="n" s="19">
        <v>7099.85</v>
      </c>
    </row>
    <row r="37" hidden="0" ht="15" customHeight="1" spans="1:1">
      <c r="A37" t="str" s="16">
        <f>HYPERLINK("https://amazon.com/dp/B0DQV77F5Y", "B0DQV77F5Y")</f>
      </c>
      <c r="B37" t="s">
        <v>49</v>
      </c>
      <c r="C37" t="s">
        <v>13</v>
      </c>
      <c r="D37" t="n" s="17">
        <v>0</v>
      </c>
      <c r="E37" t="n" s="17">
        <v>0</v>
      </c>
      <c r="F37" t="n" s="17">
        <v>0</v>
      </c>
      <c r="G37" t="n" s="17">
        <v>0</v>
      </c>
      <c r="H37" t="n" s="17">
        <v>0</v>
      </c>
      <c r="I37" t="n" s="18">
        <v>0</v>
      </c>
      <c r="J37" t="n" s="17">
        <v>0</v>
      </c>
      <c r="K37" t="n" s="19">
        <v>0</v>
      </c>
    </row>
    <row r="38" hidden="0" ht="15" customHeight="1" spans="1:1">
      <c r="A38" t="str" s="16">
        <f>HYPERLINK("https://amazon.com/dp/B0859M6P2C", "B0859M6P2C")</f>
      </c>
      <c r="B38" t="s">
        <v>50</v>
      </c>
      <c r="C38" t="s">
        <v>13</v>
      </c>
      <c r="D38" t="n" s="17">
        <v>0</v>
      </c>
      <c r="E38" t="n" s="17">
        <v>0</v>
      </c>
      <c r="F38" t="n" s="17">
        <v>0</v>
      </c>
      <c r="G38" t="n" s="17">
        <v>0</v>
      </c>
      <c r="H38" t="n" s="17">
        <v>0</v>
      </c>
      <c r="I38" t="n" s="18">
        <v>0</v>
      </c>
      <c r="J38" t="n" s="17">
        <v>0</v>
      </c>
      <c r="K38" t="n" s="19">
        <v>0</v>
      </c>
    </row>
    <row r="39" hidden="0" ht="15" customHeight="1" spans="1:1">
      <c r="A39" t="str" s="16">
        <f>HYPERLINK("https://amazon.com/dp/B098FJ6LXB", "B098FJ6LXB")</f>
      </c>
      <c r="B39" t="s">
        <v>51</v>
      </c>
      <c r="C39" t="s">
        <v>16</v>
      </c>
      <c r="D39" t="n" s="17">
        <v>0</v>
      </c>
      <c r="E39" t="n" s="17">
        <v>0</v>
      </c>
      <c r="F39" t="n" s="17">
        <v>0</v>
      </c>
      <c r="G39" t="n" s="17">
        <v>0</v>
      </c>
      <c r="H39" t="n" s="17">
        <v>0</v>
      </c>
      <c r="I39" t="n" s="18">
        <v>0</v>
      </c>
      <c r="J39" t="n" s="17">
        <v>0</v>
      </c>
      <c r="K39" t="n" s="19">
        <v>0</v>
      </c>
    </row>
    <row r="40" hidden="0" ht="15" customHeight="1" spans="1:1">
      <c r="A40" t="str" s="16">
        <f>HYPERLINK("https://amazon.com/dp/B0BRKFJXTT", "B0BRKFJXTT")</f>
      </c>
      <c r="B40" t="s">
        <v>52</v>
      </c>
      <c r="C40" t="s">
        <v>13</v>
      </c>
      <c r="D40" t="n" s="17">
        <v>0</v>
      </c>
      <c r="E40" t="n" s="17">
        <v>0</v>
      </c>
      <c r="F40" t="n" s="17">
        <v>0</v>
      </c>
      <c r="G40" t="n" s="17">
        <v>0</v>
      </c>
      <c r="H40" t="n" s="17">
        <v>0</v>
      </c>
      <c r="I40" t="n" s="18">
        <v>0</v>
      </c>
      <c r="J40" t="n" s="17">
        <v>0</v>
      </c>
      <c r="K40" t="n" s="19">
        <v>0</v>
      </c>
    </row>
    <row r="41" hidden="0" ht="15" customHeight="1" spans="1:1">
      <c r="A41" t="str" s="16">
        <f>HYPERLINK("https://amazon.com/dp/B00CUG8ESM", "B00CUG8ESM")</f>
      </c>
      <c r="B41" t="s">
        <v>53</v>
      </c>
      <c r="C41" t="s">
        <v>13</v>
      </c>
      <c r="D41" t="n" s="17">
        <v>0</v>
      </c>
      <c r="E41" t="n" s="17">
        <v>0</v>
      </c>
      <c r="F41" t="n" s="17">
        <v>0</v>
      </c>
      <c r="G41" t="n" s="17">
        <v>0</v>
      </c>
      <c r="H41" t="n" s="17">
        <v>0</v>
      </c>
      <c r="I41" t="n" s="18">
        <v>0</v>
      </c>
      <c r="J41" t="n" s="17">
        <v>0</v>
      </c>
      <c r="K41" t="n" s="19">
        <v>0</v>
      </c>
    </row>
    <row r="42" hidden="0" ht="15" customHeight="1" spans="1:1">
      <c r="A42" t="str" s="16">
        <f>HYPERLINK("https://amazon.com/dp/B0DSVS49TZ", "B0DSVS49TZ")</f>
      </c>
      <c r="B42" t="s">
        <v>54</v>
      </c>
      <c r="C42" t="s">
        <v>13</v>
      </c>
      <c r="D42" t="n" s="17">
        <v>0</v>
      </c>
      <c r="E42" t="n" s="17">
        <v>293</v>
      </c>
      <c r="F42" t="n" s="17">
        <v>0</v>
      </c>
      <c r="G42" t="n" s="17">
        <v>0</v>
      </c>
      <c r="H42" t="n" s="17">
        <v>0</v>
      </c>
      <c r="I42" t="n" s="18">
        <v>0.0373</v>
      </c>
      <c r="J42" t="n" s="17">
        <v>12</v>
      </c>
      <c r="K42" t="n" s="19">
        <v>12323.32</v>
      </c>
    </row>
    <row r="43" hidden="0" ht="15" customHeight="1" spans="1:1">
      <c r="A43" t="str" s="16">
        <f>HYPERLINK("https://amazon.com/dp/B01F44TDI6", "B01F44TDI6")</f>
      </c>
      <c r="B43" t="s">
        <v>55</v>
      </c>
      <c r="C43" t="s">
        <v>13</v>
      </c>
      <c r="D43" t="n" s="17">
        <v>0</v>
      </c>
      <c r="E43" t="n" s="17">
        <v>0</v>
      </c>
      <c r="F43" t="n" s="17">
        <v>0</v>
      </c>
      <c r="G43" t="n" s="17">
        <v>0</v>
      </c>
      <c r="H43" t="n" s="17">
        <v>0</v>
      </c>
      <c r="I43" t="n" s="18">
        <v>0</v>
      </c>
      <c r="J43" t="n" s="17">
        <v>0</v>
      </c>
      <c r="K43" t="n" s="19">
        <v>0</v>
      </c>
    </row>
    <row r="44" hidden="0" ht="15" customHeight="1" spans="1:1">
      <c r="A44" t="str" s="16">
        <f>HYPERLINK("https://amazon.com/dp/B01LLAK1UG", "B01LLAK1UG")</f>
      </c>
      <c r="B44" t="s">
        <v>56</v>
      </c>
      <c r="C44" t="s">
        <v>13</v>
      </c>
      <c r="D44" t="n" s="17">
        <v>0</v>
      </c>
      <c r="E44" t="n" s="17">
        <v>0</v>
      </c>
      <c r="F44" t="n" s="17">
        <v>0</v>
      </c>
      <c r="G44" t="n" s="17">
        <v>0</v>
      </c>
      <c r="H44" t="n" s="17">
        <v>0</v>
      </c>
      <c r="I44" t="n" s="18">
        <v>0</v>
      </c>
      <c r="J44" t="n" s="17">
        <v>0</v>
      </c>
      <c r="K44" t="n" s="19">
        <v>0</v>
      </c>
    </row>
    <row r="45" hidden="0" ht="15" customHeight="1" spans="1:1">
      <c r="A45" t="str" s="16">
        <f>HYPERLINK("https://amazon.com/dp/B07YP3T5H7", "B07YP3T5H7")</f>
      </c>
      <c r="B45" t="s">
        <v>57</v>
      </c>
      <c r="C45" t="s">
        <v>13</v>
      </c>
      <c r="D45" t="n" s="17">
        <v>0</v>
      </c>
      <c r="E45" t="n" s="17">
        <v>0</v>
      </c>
      <c r="F45" t="n" s="17">
        <v>0</v>
      </c>
      <c r="G45" t="n" s="17">
        <v>0</v>
      </c>
      <c r="H45" t="n" s="17">
        <v>0</v>
      </c>
      <c r="I45" t="n" s="18">
        <v>0</v>
      </c>
      <c r="J45" t="n" s="17">
        <v>0</v>
      </c>
      <c r="K45" t="n" s="19">
        <v>0</v>
      </c>
    </row>
    <row r="46" hidden="0" ht="15" customHeight="1" spans="1:1">
      <c r="A46" t="str" s="16">
        <f>HYPERLINK("https://amazon.com/dp/B07WRQ9S1B", "B07WRQ9S1B")</f>
      </c>
      <c r="B46" t="s">
        <v>58</v>
      </c>
      <c r="C46" t="s">
        <v>13</v>
      </c>
      <c r="D46" t="n" s="17">
        <v>0</v>
      </c>
      <c r="E46" t="n" s="17">
        <v>182</v>
      </c>
      <c r="F46" t="n" s="17">
        <v>0</v>
      </c>
      <c r="G46" t="n" s="17">
        <v>0</v>
      </c>
      <c r="H46" t="n" s="17">
        <v>0</v>
      </c>
      <c r="I46" t="n" s="18">
        <v>0.0109</v>
      </c>
      <c r="J46" t="n" s="17">
        <v>2</v>
      </c>
      <c r="K46" t="n" s="19">
        <v>3894.44</v>
      </c>
    </row>
    <row r="47" hidden="0" ht="15" customHeight="1" spans="1:1">
      <c r="A47" t="str" s="16">
        <f>HYPERLINK("https://amazon.com/dp/B08FSJD59S", "B08FSJD59S")</f>
      </c>
      <c r="B47" t="s">
        <v>59</v>
      </c>
      <c r="C47" t="s">
        <v>16</v>
      </c>
      <c r="D47" t="n" s="17">
        <v>0</v>
      </c>
      <c r="E47" t="n" s="17">
        <v>972</v>
      </c>
      <c r="F47" t="n" s="17">
        <v>0</v>
      </c>
      <c r="G47" t="n" s="17">
        <v>0</v>
      </c>
      <c r="H47" t="n" s="17">
        <v>0</v>
      </c>
      <c r="I47" t="n" s="18">
        <v>0.1265</v>
      </c>
      <c r="J47" t="n" s="17">
        <v>125</v>
      </c>
      <c r="K47" t="n" s="19">
        <v>51478.83</v>
      </c>
    </row>
    <row r="48" hidden="0" ht="15" customHeight="1" spans="1:1">
      <c r="A48" t="str" s="16">
        <f>HYPERLINK("https://amazon.com/dp/B08GDC61NS", "B08GDC61NS")</f>
      </c>
      <c r="B48" t="s">
        <v>60</v>
      </c>
      <c r="C48" t="s">
        <v>13</v>
      </c>
      <c r="D48" t="n" s="17">
        <v>0</v>
      </c>
      <c r="E48" t="n" s="17">
        <v>92</v>
      </c>
      <c r="F48" t="n" s="17">
        <v>0</v>
      </c>
      <c r="G48" t="n" s="17">
        <v>0</v>
      </c>
      <c r="H48" t="n" s="17">
        <v>0</v>
      </c>
      <c r="I48" t="n" s="18">
        <v>0.0652</v>
      </c>
      <c r="J48" t="n" s="17">
        <v>6</v>
      </c>
      <c r="K48" t="n" s="19">
        <v>9999.66</v>
      </c>
    </row>
    <row r="49" hidden="0" ht="15" customHeight="1" spans="1:1">
      <c r="A49" t="str" s="16">
        <f>HYPERLINK("https://amazon.com/dp/B0FBGN1GWB", "B0FBGN1GWB")</f>
      </c>
      <c r="B49" t="s">
        <v>61</v>
      </c>
      <c r="C49" t="s">
        <v>29</v>
      </c>
      <c r="D49" t="n" s="17">
        <v>0</v>
      </c>
      <c r="E49" t="n" s="17">
        <v>103</v>
      </c>
      <c r="F49" t="n" s="17">
        <v>0</v>
      </c>
      <c r="G49" t="n" s="17">
        <v>0</v>
      </c>
      <c r="H49" t="n" s="17">
        <v>0</v>
      </c>
      <c r="I49" t="n" s="18">
        <v>0.0684</v>
      </c>
      <c r="J49" t="n" s="17">
        <v>8</v>
      </c>
      <c r="K49" t="n" s="19">
        <v>41618.16</v>
      </c>
    </row>
    <row r="50" hidden="0" ht="15" customHeight="1" spans="1:1">
      <c r="A50" t="str" s="16">
        <f>HYPERLINK("https://amazon.com/dp/B0F3PCWSWB", "B0F3PCWSWB")</f>
      </c>
      <c r="B50" t="s">
        <v>62</v>
      </c>
      <c r="C50" t="s">
        <v>16</v>
      </c>
      <c r="D50" t="n" s="17">
        <v>0</v>
      </c>
      <c r="E50" t="n" s="17">
        <v>182</v>
      </c>
      <c r="F50" t="n" s="17">
        <v>0</v>
      </c>
      <c r="G50" t="n" s="17">
        <v>0</v>
      </c>
      <c r="H50" t="n" s="17">
        <v>0</v>
      </c>
      <c r="I50" t="n" s="18">
        <v>0.016</v>
      </c>
      <c r="J50" t="n" s="17">
        <v>3</v>
      </c>
      <c r="K50" t="n" s="19">
        <v>15952.71</v>
      </c>
    </row>
    <row r="51" hidden="0" ht="15" customHeight="1" spans="1:1">
      <c r="A51" t="str" s="16">
        <f>HYPERLINK("https://amazon.com/dp/B0FJLPX3GZ", "B0FJLPX3GZ")</f>
      </c>
      <c r="B51" t="s">
        <v>63</v>
      </c>
      <c r="C51" t="s">
        <v>13</v>
      </c>
      <c r="D51" t="n" s="17">
        <v>0</v>
      </c>
      <c r="E51" t="n" s="17">
        <v>16</v>
      </c>
      <c r="F51" t="n" s="17">
        <v>0</v>
      </c>
      <c r="G51" t="n" s="17">
        <v>0</v>
      </c>
      <c r="H51" t="n" s="17">
        <v>0</v>
      </c>
      <c r="I51" t="n" s="18">
        <v>0</v>
      </c>
      <c r="J51" t="n" s="17">
        <v>0</v>
      </c>
      <c r="K51" t="n" s="19">
        <v>0</v>
      </c>
    </row>
    <row r="52" hidden="0" ht="15" customHeight="1" spans="1:1">
      <c r="A52" t="str" s="16">
        <f>HYPERLINK("https://amazon.com/dp/B0B2X4GM2V", "B0B2X4GM2V")</f>
      </c>
      <c r="B52" t="s">
        <v>64</v>
      </c>
      <c r="C52" t="s">
        <v>13</v>
      </c>
      <c r="D52" t="n" s="17">
        <v>0</v>
      </c>
      <c r="E52" t="n" s="17">
        <v>0</v>
      </c>
      <c r="F52" t="n" s="17">
        <v>0</v>
      </c>
      <c r="G52" t="n" s="17">
        <v>0</v>
      </c>
      <c r="H52" t="n" s="17">
        <v>0</v>
      </c>
      <c r="I52" t="n" s="18">
        <v>0</v>
      </c>
      <c r="J52" t="n" s="17">
        <v>0</v>
      </c>
      <c r="K52" t="n" s="19">
        <v>0</v>
      </c>
    </row>
    <row r="53" hidden="0" ht="15" customHeight="1" spans="1:1">
      <c r="A53" t="str" s="16">
        <f>HYPERLINK("https://amazon.com/dp/B083G3QR53", "B083G3QR53")</f>
      </c>
      <c r="B53" t="s">
        <v>65</v>
      </c>
      <c r="C53" t="s">
        <v>13</v>
      </c>
      <c r="D53" t="n" s="17">
        <v>0</v>
      </c>
      <c r="E53" t="n" s="17">
        <v>0</v>
      </c>
      <c r="F53" t="n" s="17">
        <v>0</v>
      </c>
      <c r="G53" t="n" s="17">
        <v>0</v>
      </c>
      <c r="H53" t="n" s="17">
        <v>0</v>
      </c>
      <c r="I53" t="n" s="18">
        <v>0</v>
      </c>
      <c r="J53" t="n" s="17">
        <v>0</v>
      </c>
      <c r="K53" t="n" s="19">
        <v>0</v>
      </c>
    </row>
    <row r="54" hidden="0" ht="15" customHeight="1" spans="1:1">
      <c r="A54" t="str" s="16">
        <f>HYPERLINK("https://amazon.com/dp/B08F2T133N", "B08F2T133N")</f>
      </c>
      <c r="B54" t="s">
        <v>66</v>
      </c>
      <c r="C54" t="s">
        <v>13</v>
      </c>
      <c r="D54" t="n" s="17">
        <v>0</v>
      </c>
      <c r="E54" t="n" s="17">
        <v>0</v>
      </c>
      <c r="F54" t="n" s="17">
        <v>0</v>
      </c>
      <c r="G54" t="n" s="17">
        <v>0</v>
      </c>
      <c r="H54" t="n" s="17">
        <v>0</v>
      </c>
      <c r="I54" t="n" s="18">
        <v>0</v>
      </c>
      <c r="J54" t="n" s="17">
        <v>0</v>
      </c>
      <c r="K54" t="n" s="19">
        <v>0</v>
      </c>
    </row>
    <row r="55" hidden="0" ht="15" customHeight="1" spans="1:1">
      <c r="A55" t="str" s="16">
        <f>HYPERLINK("https://amazon.com/dp/B0BN4BQ1DM", "B0BN4BQ1DM")</f>
      </c>
      <c r="B55" t="s">
        <v>67</v>
      </c>
      <c r="C55" t="s">
        <v>16</v>
      </c>
      <c r="D55" t="n" s="17">
        <v>0</v>
      </c>
      <c r="E55" t="n" s="17">
        <v>548</v>
      </c>
      <c r="F55" t="n" s="17">
        <v>0</v>
      </c>
      <c r="G55" t="n" s="17">
        <v>0</v>
      </c>
      <c r="H55" t="n" s="17">
        <v>0</v>
      </c>
      <c r="I55" t="n" s="18">
        <v>0.067</v>
      </c>
      <c r="J55" t="n" s="17">
        <v>38</v>
      </c>
      <c r="K55" t="n" s="19">
        <v>78738.66</v>
      </c>
    </row>
    <row r="56" hidden="0" ht="15" customHeight="1" spans="1:1">
      <c r="A56" t="str" s="16">
        <f>HYPERLINK("https://amazon.com/dp/B0D92F5HX4", "B0D92F5HX4")</f>
      </c>
      <c r="B56" t="s">
        <v>68</v>
      </c>
      <c r="C56" t="s">
        <v>29</v>
      </c>
      <c r="D56" t="n" s="17">
        <v>0</v>
      </c>
      <c r="E56" t="n" s="17">
        <v>4</v>
      </c>
      <c r="F56" t="n" s="17">
        <v>0</v>
      </c>
      <c r="G56" t="n" s="17">
        <v>0</v>
      </c>
      <c r="H56" t="n" s="17">
        <v>0</v>
      </c>
      <c r="I56" t="n" s="18">
        <v>0.0333</v>
      </c>
      <c r="J56" t="n" s="17">
        <v>1</v>
      </c>
      <c r="K56" t="n" s="19">
        <v>350.72</v>
      </c>
    </row>
    <row r="57" hidden="0" ht="15" customHeight="1" spans="1:1">
      <c r="A57" t="str" s="16">
        <f>HYPERLINK("https://amazon.com/dp/B0CJJ733W3", "B0CJJ733W3")</f>
      </c>
      <c r="B57" t="s">
        <v>69</v>
      </c>
      <c r="C57" t="s">
        <v>13</v>
      </c>
      <c r="D57" t="n" s="17">
        <v>0</v>
      </c>
      <c r="E57" t="n" s="17">
        <v>302</v>
      </c>
      <c r="F57" t="n" s="17">
        <v>0</v>
      </c>
      <c r="G57" t="n" s="17">
        <v>0</v>
      </c>
      <c r="H57" t="n" s="17">
        <v>0</v>
      </c>
      <c r="I57" t="n" s="18">
        <v>0.0231</v>
      </c>
      <c r="J57" t="n" s="17">
        <v>7</v>
      </c>
      <c r="K57" t="n" s="19">
        <v>99621.13</v>
      </c>
    </row>
    <row r="58" hidden="0" ht="15" customHeight="1" spans="1:1">
      <c r="A58" t="str" s="16">
        <f>HYPERLINK("https://amazon.com/dp/B0CKPVMVMT", "B0CKPVMVMT")</f>
      </c>
      <c r="B58" t="s">
        <v>70</v>
      </c>
      <c r="C58" t="s">
        <v>13</v>
      </c>
      <c r="D58" t="n" s="17">
        <v>0</v>
      </c>
      <c r="E58" t="n" s="17">
        <v>0</v>
      </c>
      <c r="F58" t="n" s="17">
        <v>0</v>
      </c>
      <c r="G58" t="n" s="17">
        <v>0</v>
      </c>
      <c r="H58" t="n" s="17">
        <v>0</v>
      </c>
      <c r="I58" t="n" s="18">
        <v>0</v>
      </c>
      <c r="J58" t="n" s="17">
        <v>0</v>
      </c>
      <c r="K58" t="n" s="19">
        <v>0</v>
      </c>
    </row>
    <row r="59" hidden="0" ht="15" customHeight="1" spans="1:1">
      <c r="A59" t="str" s="16">
        <f>HYPERLINK("https://amazon.com/dp/B0F674XQJR", "B0F674XQJR")</f>
      </c>
      <c r="B59" t="s">
        <v>71</v>
      </c>
      <c r="C59" t="s">
        <v>13</v>
      </c>
      <c r="D59" t="n" s="17">
        <v>0</v>
      </c>
      <c r="E59" t="n" s="17">
        <v>0</v>
      </c>
      <c r="F59" t="n" s="17">
        <v>0</v>
      </c>
      <c r="G59" t="n" s="17">
        <v>0</v>
      </c>
      <c r="H59" t="n" s="17">
        <v>0</v>
      </c>
      <c r="I59" t="n" s="18">
        <v>0</v>
      </c>
      <c r="J59" t="n" s="17">
        <v>0</v>
      </c>
      <c r="K59" t="n" s="19">
        <v>0</v>
      </c>
    </row>
    <row r="60" hidden="0" ht="15" customHeight="1" spans="1:1">
      <c r="A60" t="str" s="16">
        <f>HYPERLINK("https://amazon.com/dp/B001BSK3NO", "B001BSK3NO")</f>
      </c>
      <c r="B60" t="s">
        <v>72</v>
      </c>
      <c r="C60" t="s">
        <v>13</v>
      </c>
      <c r="D60" t="n" s="17">
        <v>0</v>
      </c>
      <c r="E60" t="n" s="17">
        <v>0</v>
      </c>
      <c r="F60" t="n" s="17">
        <v>0</v>
      </c>
      <c r="G60" t="n" s="17">
        <v>0</v>
      </c>
      <c r="H60" t="n" s="17">
        <v>0</v>
      </c>
      <c r="I60" t="n" s="18">
        <v>0</v>
      </c>
      <c r="J60" t="n" s="17">
        <v>0</v>
      </c>
      <c r="K60" t="n" s="19">
        <v>0</v>
      </c>
    </row>
    <row r="61" hidden="0" ht="15" customHeight="1" spans="1:1">
      <c r="A61" t="str" s="16">
        <f>HYPERLINK("https://amazon.com/dp/B0D9LZTDLR", "B0D9LZTDLR")</f>
      </c>
      <c r="B61" t="s">
        <v>73</v>
      </c>
      <c r="C61" t="s">
        <v>13</v>
      </c>
      <c r="D61" t="n" s="17">
        <v>0</v>
      </c>
      <c r="E61" t="n" s="17">
        <v>113</v>
      </c>
      <c r="F61" t="n" s="17">
        <v>0</v>
      </c>
      <c r="G61" t="n" s="17">
        <v>0</v>
      </c>
      <c r="H61" t="n" s="17">
        <v>0</v>
      </c>
      <c r="I61" t="n" s="18">
        <v>0.0265</v>
      </c>
      <c r="J61" t="n" s="17">
        <v>3</v>
      </c>
      <c r="K61" t="n" s="19">
        <v>5912.34</v>
      </c>
    </row>
    <row r="62" hidden="0" ht="15" customHeight="1" spans="1:1">
      <c r="A62" t="str" s="16">
        <f>HYPERLINK("https://amazon.com/dp/B0GVYW6H1X", "B0GVYW6H1X")</f>
      </c>
      <c r="B62" t="s">
        <v>74</v>
      </c>
      <c r="C62" t="s">
        <v>29</v>
      </c>
      <c r="D62" t="n" s="17">
        <v>0</v>
      </c>
      <c r="E62" t="n" s="17">
        <v>0</v>
      </c>
      <c r="F62" t="n" s="17">
        <v>0</v>
      </c>
      <c r="G62" t="n" s="17">
        <v>0</v>
      </c>
      <c r="H62" t="n" s="17">
        <v>0</v>
      </c>
      <c r="I62" t="n" s="18">
        <v>0</v>
      </c>
      <c r="J62" t="n" s="17">
        <v>0</v>
      </c>
      <c r="K62" t="n" s="19">
        <v>0</v>
      </c>
    </row>
    <row r="63" hidden="0" ht="15" customHeight="1" spans="1:1">
      <c r="A63" t="str" s="16">
        <f>HYPERLINK("https://amazon.com/dp/B01K7BO3KE", "B01K7BO3KE")</f>
      </c>
      <c r="B63" t="s">
        <v>75</v>
      </c>
      <c r="C63" t="s">
        <v>13</v>
      </c>
      <c r="D63" t="n" s="17">
        <v>0</v>
      </c>
      <c r="E63" t="n" s="17">
        <v>0</v>
      </c>
      <c r="F63" t="n" s="17">
        <v>0</v>
      </c>
      <c r="G63" t="n" s="17">
        <v>0</v>
      </c>
      <c r="H63" t="n" s="17">
        <v>0</v>
      </c>
      <c r="I63" t="n" s="18">
        <v>0</v>
      </c>
      <c r="J63" t="n" s="17">
        <v>0</v>
      </c>
      <c r="K63" t="n" s="19">
        <v>0</v>
      </c>
    </row>
    <row r="64" hidden="0" ht="15" customHeight="1" spans="1:1">
      <c r="A64" t="str" s="16">
        <f>HYPERLINK("https://amazon.com/dp/B0F12GCR4D", "B0F12GCR4D")</f>
      </c>
      <c r="B64" t="s">
        <v>76</v>
      </c>
      <c r="C64" t="s">
        <v>29</v>
      </c>
      <c r="D64" t="n" s="17">
        <v>0</v>
      </c>
      <c r="E64" t="n" s="17">
        <v>9</v>
      </c>
      <c r="F64" t="n" s="17">
        <v>0</v>
      </c>
      <c r="G64" t="n" s="17">
        <v>0</v>
      </c>
      <c r="H64" t="n" s="17">
        <v>0</v>
      </c>
      <c r="I64" t="n" s="18">
        <v>0</v>
      </c>
      <c r="J64" t="n" s="17">
        <v>0</v>
      </c>
      <c r="K64" t="n" s="19">
        <v>0</v>
      </c>
    </row>
    <row r="65" hidden="0" ht="15" customHeight="1" spans="1:1">
      <c r="A65" t="str" s="16">
        <f>HYPERLINK("https://amazon.com/dp/B0B59RLH4F", "B0B59RLH4F")</f>
      </c>
      <c r="B65" t="s">
        <v>77</v>
      </c>
      <c r="C65" t="s">
        <v>16</v>
      </c>
      <c r="D65" t="n" s="17">
        <v>0</v>
      </c>
      <c r="E65" t="n" s="17">
        <v>0</v>
      </c>
      <c r="F65" t="n" s="17">
        <v>0</v>
      </c>
      <c r="G65" t="n" s="17">
        <v>0</v>
      </c>
      <c r="H65" t="n" s="17">
        <v>0</v>
      </c>
      <c r="I65" t="n" s="18">
        <v>0</v>
      </c>
      <c r="J65" t="n" s="17">
        <v>0</v>
      </c>
      <c r="K65" t="n" s="19">
        <v>0</v>
      </c>
    </row>
    <row r="66" hidden="0" ht="15" customHeight="1" spans="1:1">
      <c r="A66" t="str" s="16">
        <f>HYPERLINK("https://amazon.com/dp/B003CFATQK", "B003CFATQK")</f>
      </c>
      <c r="B66" t="s">
        <v>78</v>
      </c>
      <c r="C66" t="s">
        <v>13</v>
      </c>
      <c r="D66" t="n" s="17">
        <v>0</v>
      </c>
      <c r="E66" t="n" s="17">
        <v>0</v>
      </c>
      <c r="F66" t="n" s="17">
        <v>0</v>
      </c>
      <c r="G66" t="n" s="17">
        <v>0</v>
      </c>
      <c r="H66" t="n" s="17">
        <v>0</v>
      </c>
      <c r="I66" t="n" s="18">
        <v>0</v>
      </c>
      <c r="J66" t="n" s="17">
        <v>0</v>
      </c>
      <c r="K66" t="n" s="19">
        <v>0</v>
      </c>
    </row>
    <row r="67" hidden="0" ht="15" customHeight="1" spans="1:1">
      <c r="A67" t="str" s="16">
        <f>HYPERLINK("https://amazon.com/dp/B00DMX8W02", "B00DMX8W02")</f>
      </c>
      <c r="B67" t="s">
        <v>79</v>
      </c>
      <c r="C67" t="s">
        <v>13</v>
      </c>
      <c r="D67" t="n" s="17">
        <v>0</v>
      </c>
      <c r="E67" t="n" s="17">
        <v>0</v>
      </c>
      <c r="F67" t="n" s="17">
        <v>0</v>
      </c>
      <c r="G67" t="n" s="17">
        <v>0</v>
      </c>
      <c r="H67" t="n" s="17">
        <v>0</v>
      </c>
      <c r="I67" t="n" s="18">
        <v>0</v>
      </c>
      <c r="J67" t="n" s="17">
        <v>0</v>
      </c>
      <c r="K67" t="n" s="19">
        <v>0</v>
      </c>
    </row>
    <row r="68" hidden="0" ht="15" customHeight="1" spans="1:1">
      <c r="A68" t="str" s="16">
        <f>HYPERLINK("https://amazon.com/dp/B0DK5S16SM", "B0DK5S16SM")</f>
      </c>
      <c r="B68" t="s">
        <v>80</v>
      </c>
      <c r="C68" t="s">
        <v>16</v>
      </c>
      <c r="D68" t="n" s="17">
        <v>0</v>
      </c>
      <c r="E68" t="n" s="17">
        <v>0</v>
      </c>
      <c r="F68" t="n" s="17">
        <v>0</v>
      </c>
      <c r="G68" t="n" s="17">
        <v>0</v>
      </c>
      <c r="H68" t="n" s="17">
        <v>0</v>
      </c>
      <c r="I68" t="n" s="18">
        <v>0</v>
      </c>
      <c r="J68" t="n" s="17">
        <v>0</v>
      </c>
      <c r="K68" t="n" s="19">
        <v>0</v>
      </c>
    </row>
    <row r="69" hidden="0" ht="15" customHeight="1" spans="1:1">
      <c r="A69" t="str" s="16">
        <f>HYPERLINK("https://amazon.com/dp/B09BFT7NZJ", "B09BFT7NZJ")</f>
      </c>
      <c r="B69" t="s">
        <v>81</v>
      </c>
      <c r="C69" t="s">
        <v>16</v>
      </c>
      <c r="D69" t="n" s="17">
        <v>0</v>
      </c>
      <c r="E69" t="n" s="17">
        <v>0</v>
      </c>
      <c r="F69" t="n" s="17">
        <v>0</v>
      </c>
      <c r="G69" t="n" s="17">
        <v>0</v>
      </c>
      <c r="H69" t="n" s="17">
        <v>0</v>
      </c>
      <c r="I69" t="n" s="18">
        <v>0</v>
      </c>
      <c r="J69" t="n" s="17">
        <v>0</v>
      </c>
      <c r="K69" t="n" s="19">
        <v>0</v>
      </c>
    </row>
    <row r="70" hidden="0" ht="15" customHeight="1" spans="1:1">
      <c r="A70" t="str" s="16">
        <f>HYPERLINK("https://amazon.com/dp/B08XNLQ74V", "B08XNLQ74V")</f>
      </c>
      <c r="B70" t="s">
        <v>82</v>
      </c>
      <c r="C70" t="s">
        <v>13</v>
      </c>
      <c r="D70" t="n" s="17">
        <v>0</v>
      </c>
      <c r="E70" t="n" s="17">
        <v>0</v>
      </c>
      <c r="F70" t="n" s="17">
        <v>0</v>
      </c>
      <c r="G70" t="n" s="17">
        <v>0</v>
      </c>
      <c r="H70" t="n" s="17">
        <v>0</v>
      </c>
      <c r="I70" t="n" s="18">
        <v>0</v>
      </c>
      <c r="J70" t="n" s="17">
        <v>0</v>
      </c>
      <c r="K70" t="n" s="19">
        <v>0</v>
      </c>
    </row>
    <row r="71" hidden="0" ht="15" customHeight="1" spans="1:1">
      <c r="A71" t="str" s="16">
        <f>HYPERLINK("https://amazon.com/dp/B0D4LPG5G5", "B0D4LPG5G5")</f>
      </c>
      <c r="B71" t="s">
        <v>83</v>
      </c>
      <c r="C71" t="s">
        <v>29</v>
      </c>
      <c r="D71" t="n" s="17">
        <v>0</v>
      </c>
      <c r="E71" t="n" s="17">
        <v>14</v>
      </c>
      <c r="F71" t="n" s="17">
        <v>0</v>
      </c>
      <c r="G71" t="n" s="17">
        <v>0</v>
      </c>
      <c r="H71" t="n" s="17">
        <v>0</v>
      </c>
      <c r="I71" t="n" s="18">
        <v>0</v>
      </c>
      <c r="J71" t="n" s="17">
        <v>0</v>
      </c>
      <c r="K71" t="n" s="19">
        <v>0</v>
      </c>
    </row>
    <row r="72" hidden="0" ht="15" customHeight="1" spans="1:1">
      <c r="A72" t="str" s="16">
        <f>HYPERLINK("https://amazon.com/dp/B00DUCXEA8", "B00DUCXEA8")</f>
      </c>
      <c r="B72" t="s">
        <v>84</v>
      </c>
      <c r="C72" t="s">
        <v>13</v>
      </c>
      <c r="D72" t="n" s="17">
        <v>0</v>
      </c>
      <c r="E72" t="n" s="17">
        <v>0</v>
      </c>
      <c r="F72" t="n" s="17">
        <v>0</v>
      </c>
      <c r="G72" t="n" s="17">
        <v>0</v>
      </c>
      <c r="H72" t="n" s="17">
        <v>0</v>
      </c>
      <c r="I72" t="n" s="18">
        <v>0</v>
      </c>
      <c r="J72" t="n" s="17">
        <v>0</v>
      </c>
      <c r="K72" t="n" s="19">
        <v>0</v>
      </c>
    </row>
    <row r="73" hidden="0" ht="15" customHeight="1" spans="1:1">
      <c r="A73" t="str" s="16">
        <f>HYPERLINK("https://amazon.com/dp/B0F6NS9824", "B0F6NS9824")</f>
      </c>
      <c r="B73" t="s">
        <v>85</v>
      </c>
      <c r="C73" t="s">
        <v>13</v>
      </c>
      <c r="D73" t="n" s="17">
        <v>0</v>
      </c>
      <c r="E73" t="n" s="17">
        <v>0</v>
      </c>
      <c r="F73" t="n" s="17">
        <v>0</v>
      </c>
      <c r="G73" t="n" s="17">
        <v>0</v>
      </c>
      <c r="H73" t="n" s="17">
        <v>0</v>
      </c>
      <c r="I73" t="n" s="18">
        <v>0</v>
      </c>
      <c r="J73" t="n" s="17">
        <v>0</v>
      </c>
      <c r="K73" t="n" s="19">
        <v>0</v>
      </c>
    </row>
    <row r="74" hidden="0" ht="15" customHeight="1" spans="1:1">
      <c r="A74" t="str" s="16">
        <f>HYPERLINK("https://amazon.com/dp/B09SGKK5XD", "B09SGKK5XD")</f>
      </c>
      <c r="B74" t="s">
        <v>86</v>
      </c>
      <c r="C74" t="s">
        <v>13</v>
      </c>
      <c r="D74" t="n" s="17">
        <v>0</v>
      </c>
      <c r="E74" t="n" s="17">
        <v>0</v>
      </c>
      <c r="F74" t="n" s="17">
        <v>0</v>
      </c>
      <c r="G74" t="n" s="17">
        <v>0</v>
      </c>
      <c r="H74" t="n" s="17">
        <v>0</v>
      </c>
      <c r="I74" t="n" s="18">
        <v>0</v>
      </c>
      <c r="J74" t="n" s="17">
        <v>0</v>
      </c>
      <c r="K74" t="n" s="19">
        <v>0</v>
      </c>
    </row>
    <row r="75" hidden="0" ht="15" customHeight="1" spans="1:1">
      <c r="A75" t="str" s="16">
        <f>HYPERLINK("https://amazon.com/dp/B09H71Z9WC", "B09H71Z9WC")</f>
      </c>
      <c r="B75" t="s">
        <v>87</v>
      </c>
      <c r="C75" t="s">
        <v>13</v>
      </c>
      <c r="D75" t="n" s="17">
        <v>0</v>
      </c>
      <c r="E75" t="n" s="17">
        <v>0</v>
      </c>
      <c r="F75" t="n" s="17">
        <v>0</v>
      </c>
      <c r="G75" t="n" s="17">
        <v>0</v>
      </c>
      <c r="H75" t="n" s="17">
        <v>0</v>
      </c>
      <c r="I75" t="n" s="18">
        <v>0</v>
      </c>
      <c r="J75" t="n" s="17">
        <v>0</v>
      </c>
      <c r="K75" t="n" s="19">
        <v>0</v>
      </c>
    </row>
    <row r="76" hidden="0" ht="15" customHeight="1" spans="1:1">
      <c r="A76" t="str" s="16">
        <f>HYPERLINK("https://amazon.com/dp/B0BVKZDF98", "B0BVKZDF98")</f>
      </c>
      <c r="B76" t="s">
        <v>88</v>
      </c>
      <c r="C76" t="s">
        <v>13</v>
      </c>
      <c r="D76" t="n" s="17">
        <v>0</v>
      </c>
      <c r="E76" t="n" s="17">
        <v>20</v>
      </c>
      <c r="F76" t="n" s="17">
        <v>0</v>
      </c>
      <c r="G76" t="n" s="17">
        <v>0</v>
      </c>
      <c r="H76" t="n" s="17">
        <v>0</v>
      </c>
      <c r="I76" t="n" s="18">
        <v>0.0131</v>
      </c>
      <c r="J76" t="n" s="17">
        <v>2</v>
      </c>
      <c r="K76" t="n" s="19">
        <v>7518.44</v>
      </c>
    </row>
    <row r="77" hidden="0" ht="15" customHeight="1" spans="1:1">
      <c r="A77" t="str" s="16">
        <f>HYPERLINK("https://amazon.com/dp/B08QRPVW9S", "B08QRPVW9S")</f>
      </c>
      <c r="B77" t="s">
        <v>89</v>
      </c>
      <c r="C77" t="s">
        <v>16</v>
      </c>
      <c r="D77" t="n" s="17">
        <v>0</v>
      </c>
      <c r="E77" t="n" s="17">
        <v>0</v>
      </c>
      <c r="F77" t="n" s="17">
        <v>0</v>
      </c>
      <c r="G77" t="n" s="17">
        <v>0</v>
      </c>
      <c r="H77" t="n" s="17">
        <v>0</v>
      </c>
      <c r="I77" t="n" s="18">
        <v>0</v>
      </c>
      <c r="J77" t="n" s="17">
        <v>0</v>
      </c>
      <c r="K77" t="n" s="19">
        <v>0</v>
      </c>
    </row>
    <row r="78" hidden="0" ht="15" customHeight="1" spans="1:1">
      <c r="A78" t="str" s="16">
        <f>HYPERLINK("https://amazon.com/dp/B0CHFG2FQG", "B0CHFG2FQG")</f>
      </c>
      <c r="B78" t="s">
        <v>90</v>
      </c>
      <c r="C78" t="s">
        <v>13</v>
      </c>
      <c r="D78" t="n" s="17">
        <v>0</v>
      </c>
      <c r="E78" t="n" s="17">
        <v>32</v>
      </c>
      <c r="F78" t="n" s="17">
        <v>0</v>
      </c>
      <c r="G78" t="n" s="17">
        <v>0</v>
      </c>
      <c r="H78" t="n" s="17">
        <v>0</v>
      </c>
      <c r="I78" t="n" s="18">
        <v>0.023799999999999998</v>
      </c>
      <c r="J78" t="n" s="17">
        <v>1</v>
      </c>
      <c r="K78" t="n" s="19">
        <v>1000.29</v>
      </c>
    </row>
    <row r="79" hidden="0" ht="15" customHeight="1" spans="1:1">
      <c r="A79" t="str" s="16">
        <f>HYPERLINK("https://amazon.com/dp/B0FKSGV6C7", "B0FKSGV6C7")</f>
      </c>
      <c r="B79" t="s">
        <v>91</v>
      </c>
      <c r="C79" t="s">
        <v>29</v>
      </c>
      <c r="D79" t="n" s="17">
        <v>0</v>
      </c>
      <c r="E79" t="n" s="17">
        <v>0</v>
      </c>
      <c r="F79" t="n" s="17">
        <v>0</v>
      </c>
      <c r="G79" t="n" s="17">
        <v>0</v>
      </c>
      <c r="H79" t="n" s="17">
        <v>0</v>
      </c>
      <c r="I79" t="n" s="18">
        <v>0</v>
      </c>
      <c r="J79" t="n" s="17">
        <v>0</v>
      </c>
      <c r="K79" t="n" s="19">
        <v>0</v>
      </c>
    </row>
    <row r="80" hidden="0" ht="15" customHeight="1" spans="1:1">
      <c r="A80" t="str" s="16">
        <f>HYPERLINK("https://amazon.com/dp/B0FFMS3ZHF", "B0FFMS3ZHF")</f>
      </c>
      <c r="B80" t="s">
        <v>92</v>
      </c>
      <c r="C80" t="s">
        <v>13</v>
      </c>
      <c r="D80" t="n" s="17">
        <v>0</v>
      </c>
      <c r="E80" t="n" s="17">
        <v>19</v>
      </c>
      <c r="F80" t="n" s="17">
        <v>0</v>
      </c>
      <c r="G80" t="n" s="17">
        <v>0</v>
      </c>
      <c r="H80" t="n" s="17">
        <v>0</v>
      </c>
      <c r="I80" t="n" s="18">
        <v>0</v>
      </c>
      <c r="J80" t="n" s="17">
        <v>0</v>
      </c>
      <c r="K80" t="n" s="19">
        <v>0</v>
      </c>
    </row>
    <row r="81" hidden="0" ht="15" customHeight="1" spans="1:1">
      <c r="A81" t="str" s="16">
        <f>HYPERLINK("https://amazon.com/dp/B0B7NK25BJ", "B0B7NK25BJ")</f>
      </c>
      <c r="B81" t="s">
        <v>93</v>
      </c>
      <c r="C81" t="s">
        <v>16</v>
      </c>
      <c r="D81" t="n" s="17">
        <v>0</v>
      </c>
      <c r="E81" t="n" s="17">
        <v>0</v>
      </c>
      <c r="F81" t="n" s="17">
        <v>0</v>
      </c>
      <c r="G81" t="n" s="17">
        <v>0</v>
      </c>
      <c r="H81" t="n" s="17">
        <v>0</v>
      </c>
      <c r="I81" t="n" s="18">
        <v>0</v>
      </c>
      <c r="J81" t="n" s="17">
        <v>0</v>
      </c>
      <c r="K81" t="n" s="19">
        <v>0</v>
      </c>
    </row>
    <row r="82" hidden="0" ht="15" customHeight="1" spans="1:1">
      <c r="A82" t="str" s="16">
        <f>HYPERLINK("https://amazon.com/dp/B0DQTKH83X", "B0DQTKH83X")</f>
      </c>
      <c r="B82" t="s">
        <v>94</v>
      </c>
      <c r="C82" t="s">
        <v>29</v>
      </c>
      <c r="D82" t="n" s="17">
        <v>0</v>
      </c>
      <c r="E82" t="n" s="17">
        <v>7</v>
      </c>
      <c r="F82" t="n" s="17">
        <v>0</v>
      </c>
      <c r="G82" t="n" s="17">
        <v>0</v>
      </c>
      <c r="H82" t="n" s="17">
        <v>0</v>
      </c>
      <c r="I82" t="n" s="18">
        <v>0</v>
      </c>
      <c r="J82" t="n" s="17">
        <v>0</v>
      </c>
      <c r="K82" t="n" s="19">
        <v>0</v>
      </c>
    </row>
    <row r="83" hidden="0" ht="15" customHeight="1" spans="1:1">
      <c r="A83" t="str" s="16">
        <f>HYPERLINK("https://amazon.com/dp/B0BQJVKVQR", "B0BQJVKVQR")</f>
      </c>
      <c r="B83" t="s">
        <v>95</v>
      </c>
      <c r="C83" t="s">
        <v>16</v>
      </c>
      <c r="D83" t="n" s="17">
        <v>0</v>
      </c>
      <c r="E83" t="n" s="17">
        <v>36</v>
      </c>
      <c r="F83" t="n" s="17">
        <v>0</v>
      </c>
      <c r="G83" t="n" s="17">
        <v>0</v>
      </c>
      <c r="H83" t="n" s="17">
        <v>0</v>
      </c>
      <c r="I83" t="n" s="18">
        <v>0.0058</v>
      </c>
      <c r="J83" t="n" s="17">
        <v>3</v>
      </c>
      <c r="K83" t="n" s="19">
        <v>4812.51</v>
      </c>
    </row>
    <row r="84" hidden="0" ht="15" customHeight="1" spans="1:1">
      <c r="A84" t="str" s="16">
        <f>HYPERLINK("https://amazon.com/dp/B0DQXRG2F8", "B0DQXRG2F8")</f>
      </c>
      <c r="B84" t="s">
        <v>96</v>
      </c>
      <c r="C84" t="s">
        <v>29</v>
      </c>
      <c r="D84" t="n" s="17">
        <v>0</v>
      </c>
      <c r="E84" t="n" s="17">
        <v>41</v>
      </c>
      <c r="F84" t="n" s="17">
        <v>0</v>
      </c>
      <c r="G84" t="n" s="17">
        <v>0</v>
      </c>
      <c r="H84" t="n" s="17">
        <v>0</v>
      </c>
      <c r="I84" t="n" s="18">
        <v>0.1379</v>
      </c>
      <c r="J84" t="n" s="17">
        <v>8</v>
      </c>
      <c r="K84" t="n" s="19">
        <v>1361.14</v>
      </c>
    </row>
    <row r="85" hidden="0" ht="15" customHeight="1" spans="1:1">
      <c r="A85" t="str" s="16">
        <f>HYPERLINK("https://amazon.com/dp/B0DCZWSYBG", "B0DCZWSYBG")</f>
      </c>
      <c r="B85" t="s">
        <v>97</v>
      </c>
      <c r="C85" t="s">
        <v>13</v>
      </c>
      <c r="D85" t="n" s="17">
        <v>0</v>
      </c>
      <c r="E85" t="n" s="17">
        <v>0</v>
      </c>
      <c r="F85" t="n" s="17">
        <v>0</v>
      </c>
      <c r="G85" t="n" s="17">
        <v>0</v>
      </c>
      <c r="H85" t="n" s="17">
        <v>0</v>
      </c>
      <c r="I85" t="n" s="18">
        <v>0</v>
      </c>
      <c r="J85" t="n" s="17">
        <v>0</v>
      </c>
      <c r="K85" t="n" s="19">
        <v>0</v>
      </c>
    </row>
    <row r="86" hidden="0" ht="15" customHeight="1" spans="1:1">
      <c r="A86" t="str" s="16">
        <f>HYPERLINK("https://amazon.com/dp/B09NBHLPNQ", "B09NBHLPNQ")</f>
      </c>
      <c r="B86" t="s">
        <v>98</v>
      </c>
      <c r="C86" t="s">
        <v>13</v>
      </c>
      <c r="D86" t="n" s="17">
        <v>0</v>
      </c>
      <c r="E86" t="n" s="17">
        <v>0</v>
      </c>
      <c r="F86" t="n" s="17">
        <v>0</v>
      </c>
      <c r="G86" t="n" s="17">
        <v>0</v>
      </c>
      <c r="H86" t="n" s="17">
        <v>0</v>
      </c>
      <c r="I86" t="n" s="18">
        <v>0</v>
      </c>
      <c r="J86" t="n" s="17">
        <v>0</v>
      </c>
      <c r="K86" t="n" s="19">
        <v>0</v>
      </c>
    </row>
    <row r="87" hidden="0" ht="15" customHeight="1" spans="1:1">
      <c r="A87" t="str" s="16">
        <f>HYPERLINK("https://amazon.com/dp/B00V4BGDKU", "B00V4BGDKU")</f>
      </c>
      <c r="B87" t="s">
        <v>99</v>
      </c>
      <c r="C87" t="s">
        <v>13</v>
      </c>
      <c r="D87" t="n" s="17">
        <v>0</v>
      </c>
      <c r="E87" t="n" s="17">
        <v>255</v>
      </c>
      <c r="F87" t="n" s="17">
        <v>0</v>
      </c>
      <c r="G87" t="n" s="17">
        <v>0</v>
      </c>
      <c r="H87" t="n" s="17">
        <v>0</v>
      </c>
      <c r="I87" t="n" s="18">
        <v>0.10550000000000001</v>
      </c>
      <c r="J87" t="n" s="17">
        <v>29</v>
      </c>
      <c r="K87" t="n" s="19">
        <v>14189.12</v>
      </c>
    </row>
    <row r="88" hidden="0" ht="15" customHeight="1" spans="1:1">
      <c r="A88" t="str" s="16">
        <f>HYPERLINK("https://amazon.com/dp/B07L4564KF", "B07L4564KF")</f>
      </c>
      <c r="B88" t="s">
        <v>100</v>
      </c>
      <c r="C88" t="s">
        <v>13</v>
      </c>
      <c r="D88" t="n" s="17">
        <v>0</v>
      </c>
      <c r="E88" t="n" s="17">
        <v>0</v>
      </c>
      <c r="F88" t="n" s="17">
        <v>0</v>
      </c>
      <c r="G88" t="n" s="17">
        <v>0</v>
      </c>
      <c r="H88" t="n" s="17">
        <v>0</v>
      </c>
      <c r="I88" t="n" s="18">
        <v>0</v>
      </c>
      <c r="J88" t="n" s="17">
        <v>0</v>
      </c>
      <c r="K88" t="n" s="19">
        <v>0</v>
      </c>
    </row>
    <row r="89" hidden="0" ht="15" customHeight="1" spans="1:1">
      <c r="A89" t="str" s="16">
        <f>HYPERLINK("https://amazon.com/dp/B07FY23LW7", "B07FY23LW7")</f>
      </c>
      <c r="B89" t="s">
        <v>101</v>
      </c>
      <c r="C89" t="s">
        <v>13</v>
      </c>
      <c r="D89" t="n" s="17">
        <v>0</v>
      </c>
      <c r="E89" t="n" s="17">
        <v>22</v>
      </c>
      <c r="F89" t="n" s="17">
        <v>0</v>
      </c>
      <c r="G89" t="n" s="17">
        <v>0</v>
      </c>
      <c r="H89" t="n" s="17">
        <v>0</v>
      </c>
      <c r="I89" t="n" s="18">
        <v>0</v>
      </c>
      <c r="J89" t="n" s="17">
        <v>0</v>
      </c>
      <c r="K89" t="n" s="19">
        <v>0</v>
      </c>
    </row>
    <row r="90" hidden="0" ht="15" customHeight="1" spans="1:1">
      <c r="A90" t="str" s="16">
        <f>HYPERLINK("https://amazon.com/dp/B016LL724S", "B016LL724S")</f>
      </c>
      <c r="B90" t="s">
        <v>102</v>
      </c>
      <c r="C90" t="s">
        <v>13</v>
      </c>
      <c r="D90" t="n" s="17">
        <v>0</v>
      </c>
      <c r="E90" t="n" s="17">
        <v>0</v>
      </c>
      <c r="F90" t="n" s="17">
        <v>0</v>
      </c>
      <c r="G90" t="n" s="17">
        <v>0</v>
      </c>
      <c r="H90" t="n" s="17">
        <v>0</v>
      </c>
      <c r="I90" t="n" s="18">
        <v>0</v>
      </c>
      <c r="J90" t="n" s="17">
        <v>0</v>
      </c>
      <c r="K90" t="n" s="19">
        <v>0</v>
      </c>
    </row>
    <row r="91" hidden="0" ht="15" customHeight="1" spans="1:1">
      <c r="A91" t="str" s="16">
        <f>HYPERLINK("https://amazon.com/dp/B07B52MSXK", "B07B52MSXK")</f>
      </c>
      <c r="B91" t="s">
        <v>103</v>
      </c>
      <c r="C91" t="s">
        <v>13</v>
      </c>
      <c r="D91" t="n" s="17">
        <v>0</v>
      </c>
      <c r="E91" t="n" s="17">
        <v>76</v>
      </c>
      <c r="F91" t="n" s="17">
        <v>0</v>
      </c>
      <c r="G91" t="n" s="17">
        <v>0</v>
      </c>
      <c r="H91" t="n" s="17">
        <v>0</v>
      </c>
      <c r="I91" t="n" s="18">
        <v>0.013000000000000001</v>
      </c>
      <c r="J91" t="n" s="17">
        <v>1</v>
      </c>
      <c r="K91" t="n" s="19">
        <v>2767.53</v>
      </c>
    </row>
    <row r="92" hidden="0" ht="15" customHeight="1" spans="1:1">
      <c r="A92" t="str" s="16">
        <f>HYPERLINK("https://amazon.com/dp/B0CPLX5HF2", "B0CPLX5HF2")</f>
      </c>
      <c r="B92" t="s">
        <v>104</v>
      </c>
      <c r="C92" t="s">
        <v>16</v>
      </c>
      <c r="D92" t="n" s="17">
        <v>0</v>
      </c>
      <c r="E92" t="n" s="17">
        <v>31</v>
      </c>
      <c r="F92" t="n" s="17">
        <v>0</v>
      </c>
      <c r="G92" t="n" s="17">
        <v>0</v>
      </c>
      <c r="H92" t="n" s="17">
        <v>0</v>
      </c>
      <c r="I92" t="n" s="18">
        <v>0</v>
      </c>
      <c r="J92" t="n" s="17">
        <v>0</v>
      </c>
      <c r="K92" t="n" s="19">
        <v>0</v>
      </c>
    </row>
    <row r="93" hidden="0" ht="15" customHeight="1" spans="1:1">
      <c r="A93" t="str" s="16">
        <f>HYPERLINK("https://amazon.com/dp/B0BJ28DJ7W", "B0BJ28DJ7W")</f>
      </c>
      <c r="B93" t="s">
        <v>105</v>
      </c>
      <c r="C93" t="s">
        <v>16</v>
      </c>
      <c r="D93" t="n" s="17">
        <v>0</v>
      </c>
      <c r="E93" t="n" s="17">
        <v>0</v>
      </c>
      <c r="F93" t="n" s="17">
        <v>0</v>
      </c>
      <c r="G93" t="n" s="17">
        <v>0</v>
      </c>
      <c r="H93" t="n" s="17">
        <v>0</v>
      </c>
      <c r="I93" t="n" s="18">
        <v>0</v>
      </c>
      <c r="J93" t="n" s="17">
        <v>0</v>
      </c>
      <c r="K93" t="n" s="19">
        <v>0</v>
      </c>
    </row>
    <row r="94" hidden="0" ht="15" customHeight="1" spans="1:1">
      <c r="A94" t="str" s="16">
        <f>HYPERLINK("https://amazon.com/dp/B0FP2T1LQH", "B0FP2T1LQH")</f>
      </c>
      <c r="B94" t="s">
        <v>106</v>
      </c>
      <c r="C94" t="s">
        <v>16</v>
      </c>
      <c r="D94" t="n" s="17">
        <v>0</v>
      </c>
      <c r="E94" t="n" s="17">
        <v>0</v>
      </c>
      <c r="F94" t="n" s="17">
        <v>0</v>
      </c>
      <c r="G94" t="n" s="17">
        <v>0</v>
      </c>
      <c r="H94" t="n" s="17">
        <v>0</v>
      </c>
      <c r="I94" t="n" s="18">
        <v>0</v>
      </c>
      <c r="J94" t="n" s="17">
        <v>0</v>
      </c>
      <c r="K94" t="n" s="19">
        <v>0</v>
      </c>
    </row>
    <row r="95" hidden="0" ht="15" customHeight="1" spans="1:1">
      <c r="A95" t="str" s="16">
        <f>HYPERLINK("https://amazon.com/dp/B003CFATNI", "B003CFATNI")</f>
      </c>
      <c r="B95" t="s">
        <v>107</v>
      </c>
      <c r="C95" t="s">
        <v>13</v>
      </c>
      <c r="D95" t="n" s="17">
        <v>0</v>
      </c>
      <c r="E95" t="n" s="17">
        <v>45</v>
      </c>
      <c r="F95" t="n" s="17">
        <v>0</v>
      </c>
      <c r="G95" t="n" s="17">
        <v>0</v>
      </c>
      <c r="H95" t="n" s="17">
        <v>0</v>
      </c>
      <c r="I95" t="n" s="18">
        <v>0.21280000000000002</v>
      </c>
      <c r="J95" t="n" s="17">
        <v>10</v>
      </c>
      <c r="K95" t="n" s="19">
        <v>5345.5</v>
      </c>
    </row>
    <row r="96" hidden="0" ht="15" customHeight="1" spans="1:1">
      <c r="A96" t="str" s="16">
        <f>HYPERLINK("https://amazon.com/dp/B09TYX13F2", "B09TYX13F2")</f>
      </c>
      <c r="B96" t="s">
        <v>108</v>
      </c>
      <c r="C96" t="s">
        <v>13</v>
      </c>
      <c r="D96" t="n" s="17">
        <v>0</v>
      </c>
      <c r="E96" t="n" s="17">
        <v>0</v>
      </c>
      <c r="F96" t="n" s="17">
        <v>0</v>
      </c>
      <c r="G96" t="n" s="17">
        <v>0</v>
      </c>
      <c r="H96" t="n" s="17">
        <v>0</v>
      </c>
      <c r="I96" t="n" s="18">
        <v>0</v>
      </c>
      <c r="J96" t="n" s="17">
        <v>0</v>
      </c>
      <c r="K96" t="n" s="19">
        <v>0</v>
      </c>
    </row>
    <row r="97" hidden="0" ht="15" customHeight="1" spans="1:1">
      <c r="A97" t="str" s="16">
        <f>HYPERLINK("https://amazon.com/dp/B099F3P594", "B099F3P594")</f>
      </c>
      <c r="B97" t="s">
        <v>109</v>
      </c>
      <c r="C97" t="s">
        <v>13</v>
      </c>
      <c r="D97" t="n" s="17">
        <v>0</v>
      </c>
      <c r="E97" t="n" s="17">
        <v>0</v>
      </c>
      <c r="F97" t="n" s="17">
        <v>0</v>
      </c>
      <c r="G97" t="n" s="17">
        <v>0</v>
      </c>
      <c r="H97" t="n" s="17">
        <v>0</v>
      </c>
      <c r="I97" t="n" s="18">
        <v>0</v>
      </c>
      <c r="J97" t="n" s="17">
        <v>0</v>
      </c>
      <c r="K97" t="n" s="19">
        <v>0</v>
      </c>
    </row>
    <row r="98" hidden="0" ht="15" customHeight="1" spans="1:1">
      <c r="A98" t="str" s="16">
        <f>HYPERLINK("https://amazon.com/dp/B0CTHCXJ4Y", "B0CTHCXJ4Y")</f>
      </c>
      <c r="B98" t="s">
        <v>110</v>
      </c>
      <c r="C98" t="s">
        <v>16</v>
      </c>
      <c r="D98" t="n" s="17">
        <v>0</v>
      </c>
      <c r="E98" t="n" s="17">
        <v>0</v>
      </c>
      <c r="F98" t="n" s="17">
        <v>0</v>
      </c>
      <c r="G98" t="n" s="17">
        <v>0</v>
      </c>
      <c r="H98" t="n" s="17">
        <v>0</v>
      </c>
      <c r="I98" t="n" s="18">
        <v>0</v>
      </c>
      <c r="J98" t="n" s="17">
        <v>0</v>
      </c>
      <c r="K98" t="n" s="19">
        <v>0</v>
      </c>
    </row>
    <row r="99" hidden="0" ht="15" customHeight="1" spans="1:1">
      <c r="A99" t="str" s="16">
        <f>HYPERLINK("https://amazon.com/dp/B086JPDYQL", "B086JPDYQL")</f>
      </c>
      <c r="B99" t="s">
        <v>111</v>
      </c>
      <c r="C99" t="s">
        <v>13</v>
      </c>
      <c r="D99" t="n" s="17">
        <v>0</v>
      </c>
      <c r="E99" t="n" s="17">
        <v>0</v>
      </c>
      <c r="F99" t="n" s="17">
        <v>0</v>
      </c>
      <c r="G99" t="n" s="17">
        <v>0</v>
      </c>
      <c r="H99" t="n" s="17">
        <v>0</v>
      </c>
      <c r="I99" t="n" s="18">
        <v>0</v>
      </c>
      <c r="J99" t="n" s="17">
        <v>0</v>
      </c>
      <c r="K99" t="n" s="19">
        <v>0</v>
      </c>
    </row>
    <row r="100" hidden="0" ht="15" customHeight="1" spans="1:1">
      <c r="A100" t="str" s="16">
        <f>HYPERLINK("https://amazon.com/dp/B0GB766JQD", "B0GB766JQD")</f>
      </c>
      <c r="B100" t="s">
        <v>112</v>
      </c>
      <c r="C100" t="s">
        <v>29</v>
      </c>
      <c r="D100" t="n" s="17">
        <v>0</v>
      </c>
      <c r="E100" t="n" s="17">
        <v>115</v>
      </c>
      <c r="F100" t="n" s="17">
        <v>0</v>
      </c>
      <c r="G100" t="n" s="17">
        <v>0</v>
      </c>
      <c r="H100" t="n" s="17">
        <v>0</v>
      </c>
      <c r="I100" t="n" s="18">
        <v>0.0435</v>
      </c>
      <c r="J100" t="n" s="17">
        <v>5</v>
      </c>
      <c r="K100" t="n" s="19">
        <v>5153.85</v>
      </c>
    </row>
    <row r="101" hidden="0" ht="15" customHeight="1" spans="1:1">
      <c r="A101" t="str" s="16">
        <f>HYPERLINK("https://amazon.com/dp/B0BGJJWPWC", "B0BGJJWPWC")</f>
      </c>
      <c r="B101" t="s">
        <v>113</v>
      </c>
      <c r="C101" t="s">
        <v>13</v>
      </c>
      <c r="D101" t="n" s="17">
        <v>0</v>
      </c>
      <c r="E101" t="n" s="17">
        <v>19</v>
      </c>
      <c r="F101" t="n" s="17">
        <v>0</v>
      </c>
      <c r="G101" t="n" s="17">
        <v>0</v>
      </c>
      <c r="H101" t="n" s="17">
        <v>0</v>
      </c>
      <c r="I101" t="n" s="18">
        <v>0.10529999999999999</v>
      </c>
      <c r="J101" t="n" s="17">
        <v>2</v>
      </c>
      <c r="K101" t="n" s="19">
        <v>5723.15</v>
      </c>
    </row>
    <row r="102" hidden="0" ht="15" customHeight="1" spans="1:1">
      <c r="A102" t="str" s="16">
        <f>HYPERLINK("https://amazon.com/dp/B081HFWWSV", "B081HFWWSV")</f>
      </c>
      <c r="B102" t="s">
        <v>114</v>
      </c>
      <c r="C102" t="s">
        <v>13</v>
      </c>
      <c r="D102" t="n" s="17">
        <v>0</v>
      </c>
      <c r="E102" t="n" s="17">
        <v>0</v>
      </c>
      <c r="F102" t="n" s="17">
        <v>0</v>
      </c>
      <c r="G102" t="n" s="17">
        <v>0</v>
      </c>
      <c r="H102" t="n" s="17">
        <v>0</v>
      </c>
      <c r="I102" t="n" s="18">
        <v>0</v>
      </c>
      <c r="J102" t="n" s="17">
        <v>0</v>
      </c>
      <c r="K102" t="n" s="19">
        <v>0</v>
      </c>
    </row>
    <row r="103" hidden="0" ht="15" customHeight="1" spans="1:1">
      <c r="A103" t="str" s="16">
        <f>HYPERLINK("https://amazon.com/dp/B0B1JTHT9J", "B0B1JTHT9J")</f>
      </c>
      <c r="B103" t="s">
        <v>115</v>
      </c>
      <c r="C103" t="s">
        <v>13</v>
      </c>
      <c r="D103" t="n" s="17">
        <v>0</v>
      </c>
      <c r="E103" t="n" s="17">
        <v>24</v>
      </c>
      <c r="F103" t="n" s="17">
        <v>0</v>
      </c>
      <c r="G103" t="n" s="17">
        <v>0</v>
      </c>
      <c r="H103" t="n" s="17">
        <v>0</v>
      </c>
      <c r="I103" t="n" s="18">
        <v>0</v>
      </c>
      <c r="J103" t="n" s="17">
        <v>0</v>
      </c>
      <c r="K103" t="n" s="19">
        <v>0</v>
      </c>
    </row>
    <row r="104" hidden="0" ht="15" customHeight="1" spans="1:1">
      <c r="A104" t="str" s="16">
        <f>HYPERLINK("https://amazon.com/dp/B0FZJWWB72", "B0FZJWWB72")</f>
      </c>
      <c r="B104" t="s">
        <v>116</v>
      </c>
      <c r="C104" t="s">
        <v>16</v>
      </c>
      <c r="D104" t="n" s="17">
        <v>0</v>
      </c>
      <c r="E104" t="n" s="17">
        <v>399</v>
      </c>
      <c r="F104" t="n" s="17">
        <v>0</v>
      </c>
      <c r="G104" t="n" s="17">
        <v>0</v>
      </c>
      <c r="H104" t="n" s="17">
        <v>0</v>
      </c>
      <c r="I104" t="n" s="18">
        <v>0.0105</v>
      </c>
      <c r="J104" t="n" s="17">
        <v>5</v>
      </c>
      <c r="K104" t="n" s="19">
        <v>20725</v>
      </c>
    </row>
    <row r="105" hidden="0" ht="15" customHeight="1" spans="1:1">
      <c r="A105" t="str" s="16">
        <f>HYPERLINK("https://amazon.com/dp/B01NCU7N35", "B01NCU7N35")</f>
      </c>
      <c r="B105" t="s">
        <v>117</v>
      </c>
      <c r="C105" t="s">
        <v>13</v>
      </c>
      <c r="D105" t="n" s="17">
        <v>0</v>
      </c>
      <c r="E105" t="n" s="17">
        <v>0</v>
      </c>
      <c r="F105" t="n" s="17">
        <v>0</v>
      </c>
      <c r="G105" t="n" s="17">
        <v>0</v>
      </c>
      <c r="H105" t="n" s="17">
        <v>0</v>
      </c>
      <c r="I105" t="n" s="18">
        <v>0</v>
      </c>
      <c r="J105" t="n" s="17">
        <v>0</v>
      </c>
      <c r="K105" t="n" s="19">
        <v>0</v>
      </c>
    </row>
    <row r="106" hidden="0" ht="15" customHeight="1" spans="1:1">
      <c r="A106" t="str" s="16">
        <f>HYPERLINK("https://amazon.com/dp/B0BG5DWY74", "B0BG5DWY74")</f>
      </c>
      <c r="B106" t="s">
        <v>118</v>
      </c>
      <c r="C106" t="s">
        <v>13</v>
      </c>
      <c r="D106" t="n" s="17">
        <v>0</v>
      </c>
      <c r="E106" t="n" s="17">
        <v>0</v>
      </c>
      <c r="F106" t="n" s="17">
        <v>0</v>
      </c>
      <c r="G106" t="n" s="17">
        <v>0</v>
      </c>
      <c r="H106" t="n" s="17">
        <v>0</v>
      </c>
      <c r="I106" t="n" s="18">
        <v>0</v>
      </c>
      <c r="J106" t="n" s="17">
        <v>0</v>
      </c>
      <c r="K106" t="n" s="19">
        <v>0</v>
      </c>
    </row>
    <row r="107" hidden="0" ht="15" customHeight="1" spans="1:1">
      <c r="A107" t="str" s="16">
        <f>HYPERLINK("https://amazon.com/dp/B08CC34C99", "B08CC34C99")</f>
      </c>
      <c r="B107" t="s">
        <v>119</v>
      </c>
      <c r="C107" t="s">
        <v>13</v>
      </c>
      <c r="D107" t="n" s="17">
        <v>0</v>
      </c>
      <c r="E107" t="n" s="17">
        <v>0</v>
      </c>
      <c r="F107" t="n" s="17">
        <v>0</v>
      </c>
      <c r="G107" t="n" s="17">
        <v>0</v>
      </c>
      <c r="H107" t="n" s="17">
        <v>0</v>
      </c>
      <c r="I107" t="n" s="18">
        <v>0</v>
      </c>
      <c r="J107" t="n" s="17">
        <v>0</v>
      </c>
      <c r="K107" t="n" s="19">
        <v>0</v>
      </c>
    </row>
    <row r="108" hidden="0" ht="15" customHeight="1" spans="1:1">
      <c r="A108" t="str" s="16">
        <f>HYPERLINK("https://amazon.com/dp/B071S8YK9V", "B071S8YK9V")</f>
      </c>
      <c r="B108" t="s">
        <v>120</v>
      </c>
      <c r="C108" t="s">
        <v>13</v>
      </c>
      <c r="D108" t="n" s="17">
        <v>0</v>
      </c>
      <c r="E108" t="n" s="17">
        <v>0</v>
      </c>
      <c r="F108" t="n" s="17">
        <v>0</v>
      </c>
      <c r="G108" t="n" s="17">
        <v>0</v>
      </c>
      <c r="H108" t="n" s="17">
        <v>0</v>
      </c>
      <c r="I108" t="n" s="18">
        <v>0</v>
      </c>
      <c r="J108" t="n" s="17">
        <v>0</v>
      </c>
      <c r="K108" t="n" s="19">
        <v>0</v>
      </c>
    </row>
    <row r="109" hidden="0" ht="15" customHeight="1" spans="1:1">
      <c r="A109" t="str" s="16">
        <f>HYPERLINK("https://amazon.com/dp/B0BXGYSN49", "B0BXGYSN49")</f>
      </c>
      <c r="B109" t="s">
        <v>121</v>
      </c>
      <c r="C109" t="s">
        <v>13</v>
      </c>
      <c r="D109" t="n" s="17">
        <v>0</v>
      </c>
      <c r="E109" t="n" s="17">
        <v>13</v>
      </c>
      <c r="F109" t="n" s="17">
        <v>0</v>
      </c>
      <c r="G109" t="n" s="17">
        <v>0</v>
      </c>
      <c r="H109" t="n" s="17">
        <v>0</v>
      </c>
      <c r="I109" t="n" s="18">
        <v>0</v>
      </c>
      <c r="J109" t="n" s="17">
        <v>0</v>
      </c>
      <c r="K109" t="n" s="19">
        <v>0</v>
      </c>
    </row>
    <row r="110" hidden="0" ht="15" customHeight="1" spans="1:1">
      <c r="A110" t="str" s="16">
        <f>HYPERLINK("https://amazon.com/dp/B0DQY9JWJ3", "B0DQY9JWJ3")</f>
      </c>
      <c r="B110" t="s">
        <v>122</v>
      </c>
      <c r="C110" t="s">
        <v>16</v>
      </c>
      <c r="D110" t="n" s="17">
        <v>0</v>
      </c>
      <c r="E110" t="n" s="17">
        <v>0</v>
      </c>
      <c r="F110" t="n" s="17">
        <v>0</v>
      </c>
      <c r="G110" t="n" s="17">
        <v>0</v>
      </c>
      <c r="H110" t="n" s="17">
        <v>0</v>
      </c>
      <c r="I110" t="n" s="18">
        <v>0</v>
      </c>
      <c r="J110" t="n" s="17">
        <v>0</v>
      </c>
      <c r="K110" t="n" s="19">
        <v>0</v>
      </c>
    </row>
    <row r="111" hidden="0" ht="15" customHeight="1" spans="1:1">
      <c r="A111" t="str" s="16">
        <f>HYPERLINK("https://amazon.com/dp/B075DDZF4R", "B075DDZF4R")</f>
      </c>
      <c r="B111" t="s">
        <v>123</v>
      </c>
      <c r="C111" t="s">
        <v>13</v>
      </c>
      <c r="D111" t="n" s="17">
        <v>0</v>
      </c>
      <c r="E111" t="n" s="17">
        <v>82</v>
      </c>
      <c r="F111" t="n" s="17">
        <v>0</v>
      </c>
      <c r="G111" t="n" s="17">
        <v>0</v>
      </c>
      <c r="H111" t="n" s="17">
        <v>0</v>
      </c>
      <c r="I111" t="n" s="18">
        <v>0.0536</v>
      </c>
      <c r="J111" t="n" s="17">
        <v>6</v>
      </c>
      <c r="K111" t="n" s="19">
        <v>2897.16</v>
      </c>
    </row>
    <row r="112" hidden="0" ht="15" customHeight="1" spans="1:1">
      <c r="A112" t="str" s="16">
        <f>HYPERLINK("https://amazon.com/dp/B01EXDG2MO", "B01EXDG2MO")</f>
      </c>
      <c r="B112" t="s">
        <v>124</v>
      </c>
      <c r="C112" t="s">
        <v>13</v>
      </c>
      <c r="D112" t="n" s="17">
        <v>0</v>
      </c>
      <c r="E112" t="n" s="17">
        <v>0</v>
      </c>
      <c r="F112" t="n" s="17">
        <v>0</v>
      </c>
      <c r="G112" t="n" s="17">
        <v>0</v>
      </c>
      <c r="H112" t="n" s="17">
        <v>0</v>
      </c>
      <c r="I112" t="n" s="18">
        <v>0</v>
      </c>
      <c r="J112" t="n" s="17">
        <v>0</v>
      </c>
      <c r="K112" t="n" s="19">
        <v>0</v>
      </c>
    </row>
    <row r="113" hidden="0" ht="15" customHeight="1" spans="1:1">
      <c r="A113" t="str" s="16">
        <f>HYPERLINK("https://amazon.com/dp/B07XLML2YS", "B07XLML2YS")</f>
      </c>
      <c r="B113" t="s">
        <v>125</v>
      </c>
      <c r="C113" t="s">
        <v>16</v>
      </c>
      <c r="D113" t="n" s="17">
        <v>0</v>
      </c>
      <c r="E113" t="n" s="17">
        <v>1371</v>
      </c>
      <c r="F113" t="n" s="17">
        <v>0</v>
      </c>
      <c r="G113" t="n" s="17">
        <v>0</v>
      </c>
      <c r="H113" t="n" s="17">
        <v>0</v>
      </c>
      <c r="I113" t="n" s="18">
        <v>0.042</v>
      </c>
      <c r="J113" t="n" s="17">
        <v>83</v>
      </c>
      <c r="K113" t="n" s="19">
        <v>74694.14</v>
      </c>
    </row>
    <row r="114" hidden="0" ht="15" customHeight="1" spans="1:1">
      <c r="A114" t="str" s="16">
        <f>HYPERLINK("https://amazon.com/dp/B008IFXQFU", "B008IFXQFU")</f>
      </c>
      <c r="B114" t="s">
        <v>126</v>
      </c>
      <c r="C114" t="s">
        <v>13</v>
      </c>
      <c r="D114" t="n" s="17">
        <v>0</v>
      </c>
      <c r="E114" t="n" s="17">
        <v>117</v>
      </c>
      <c r="F114" t="n" s="17">
        <v>0</v>
      </c>
      <c r="G114" t="n" s="17">
        <v>0</v>
      </c>
      <c r="H114" t="n" s="17">
        <v>0</v>
      </c>
      <c r="I114" t="n" s="18">
        <v>0.1197</v>
      </c>
      <c r="J114" t="n" s="17">
        <v>14</v>
      </c>
      <c r="K114" t="n" s="19">
        <v>4027.3</v>
      </c>
    </row>
    <row r="115" hidden="0" ht="15" customHeight="1" spans="1:1">
      <c r="A115" t="str" s="16">
        <f>HYPERLINK("https://amazon.com/dp/B0GQCH1SVS", "B0GQCH1SVS")</f>
      </c>
      <c r="B115" t="s">
        <v>127</v>
      </c>
      <c r="C115" t="s">
        <v>13</v>
      </c>
      <c r="D115" t="n" s="17">
        <v>0</v>
      </c>
      <c r="E115" t="n" s="17">
        <v>0</v>
      </c>
      <c r="F115" t="n" s="17">
        <v>0</v>
      </c>
      <c r="G115" t="n" s="17">
        <v>0</v>
      </c>
      <c r="H115" t="n" s="17">
        <v>0</v>
      </c>
      <c r="I115" t="n" s="18">
        <v>0</v>
      </c>
      <c r="J115" t="n" s="17">
        <v>0</v>
      </c>
      <c r="K115" t="n" s="19">
        <v>0</v>
      </c>
    </row>
    <row r="116" hidden="0" ht="15" customHeight="1" spans="1:1">
      <c r="A116" t="str" s="16">
        <f>HYPERLINK("https://amazon.com/dp/B00A0VBPLM", "B00A0VBPLM")</f>
      </c>
      <c r="B116" t="s">
        <v>128</v>
      </c>
      <c r="C116" t="s">
        <v>13</v>
      </c>
      <c r="D116" t="n" s="17">
        <v>0</v>
      </c>
      <c r="E116" t="n" s="17">
        <v>242</v>
      </c>
      <c r="F116" t="n" s="17">
        <v>0</v>
      </c>
      <c r="G116" t="n" s="17">
        <v>0</v>
      </c>
      <c r="H116" t="n" s="17">
        <v>0</v>
      </c>
      <c r="I116" t="n" s="18">
        <v>0.0412</v>
      </c>
      <c r="J116" t="n" s="17">
        <v>10</v>
      </c>
      <c r="K116" t="n" s="19">
        <v>13719.5</v>
      </c>
    </row>
    <row r="117" hidden="0" ht="15" customHeight="1" spans="1:1">
      <c r="A117" t="str" s="16">
        <f>HYPERLINK("https://amazon.com/dp/B0GVN239YL", "B0GVN239YL")</f>
      </c>
      <c r="B117" t="s">
        <v>129</v>
      </c>
      <c r="C117" t="s">
        <v>13</v>
      </c>
      <c r="D117" t="n" s="17">
        <v>0</v>
      </c>
      <c r="E117" t="n" s="17">
        <v>2</v>
      </c>
      <c r="F117" t="n" s="17">
        <v>0</v>
      </c>
      <c r="G117" t="n" s="17">
        <v>0</v>
      </c>
      <c r="H117" t="n" s="17">
        <v>0</v>
      </c>
      <c r="I117" t="n" s="18">
        <v>0</v>
      </c>
      <c r="J117" t="n" s="17">
        <v>0</v>
      </c>
      <c r="K117" t="n" s="19">
        <v>0</v>
      </c>
    </row>
    <row r="118" hidden="0" ht="15" customHeight="1" spans="1:1">
      <c r="A118" t="str" s="16">
        <f>HYPERLINK("https://amazon.com/dp/B000N79VQO", "B000N79VQO")</f>
      </c>
      <c r="B118" t="s">
        <v>130</v>
      </c>
      <c r="C118" t="s">
        <v>13</v>
      </c>
      <c r="D118" t="n" s="17">
        <v>0</v>
      </c>
      <c r="E118" t="n" s="17">
        <v>6</v>
      </c>
      <c r="F118" t="n" s="17">
        <v>0</v>
      </c>
      <c r="G118" t="n" s="17">
        <v>0</v>
      </c>
      <c r="H118" t="n" s="17">
        <v>0</v>
      </c>
      <c r="I118" t="n" s="18">
        <v>0</v>
      </c>
      <c r="J118" t="n" s="17">
        <v>0</v>
      </c>
      <c r="K118" t="n" s="19">
        <v>0</v>
      </c>
    </row>
    <row r="119" hidden="0" ht="15" customHeight="1" spans="1:1">
      <c r="A119" t="str" s="16">
        <f>HYPERLINK("https://amazon.com/dp/B08GFGG888", "B08GFGG888")</f>
      </c>
      <c r="B119" t="s">
        <v>131</v>
      </c>
      <c r="C119" t="s">
        <v>13</v>
      </c>
      <c r="D119" t="n" s="17">
        <v>0</v>
      </c>
      <c r="E119" t="n" s="17">
        <v>3</v>
      </c>
      <c r="F119" t="n" s="17">
        <v>0</v>
      </c>
      <c r="G119" t="n" s="17">
        <v>0</v>
      </c>
      <c r="H119" t="n" s="17">
        <v>0</v>
      </c>
      <c r="I119" t="n" s="18">
        <v>0</v>
      </c>
      <c r="J119" t="n" s="17">
        <v>0</v>
      </c>
      <c r="K119" t="n" s="19">
        <v>0</v>
      </c>
    </row>
    <row r="120" hidden="0" ht="15" customHeight="1" spans="1:1">
      <c r="A120" t="str" s="16">
        <f>HYPERLINK("https://amazon.com/dp/B09LVFNMVJ", "B09LVFNMVJ")</f>
      </c>
      <c r="B120" t="s">
        <v>132</v>
      </c>
      <c r="C120" t="s">
        <v>13</v>
      </c>
      <c r="D120" t="n" s="17">
        <v>0</v>
      </c>
      <c r="E120" t="n" s="17">
        <v>4</v>
      </c>
      <c r="F120" t="n" s="17">
        <v>0</v>
      </c>
      <c r="G120" t="n" s="17">
        <v>0</v>
      </c>
      <c r="H120" t="n" s="17">
        <v>0</v>
      </c>
      <c r="I120" t="n" s="18">
        <v>0.0042</v>
      </c>
      <c r="J120" t="n" s="17">
        <v>1</v>
      </c>
      <c r="K120" t="n" s="19">
        <v>4999.17</v>
      </c>
    </row>
    <row r="121" hidden="0" ht="15" customHeight="1" spans="1:1">
      <c r="A121" t="str" s="16">
        <f>HYPERLINK("https://amazon.com/dp/B0BTSQ3RC1", "B0BTSQ3RC1")</f>
      </c>
      <c r="B121" t="s">
        <v>133</v>
      </c>
      <c r="C121" t="s">
        <v>13</v>
      </c>
      <c r="D121" t="n" s="17">
        <v>0</v>
      </c>
      <c r="E121" t="n" s="17">
        <v>91</v>
      </c>
      <c r="F121" t="n" s="17">
        <v>0</v>
      </c>
      <c r="G121" t="n" s="17">
        <v>0</v>
      </c>
      <c r="H121" t="n" s="17">
        <v>0</v>
      </c>
      <c r="I121" t="n" s="18">
        <v>0</v>
      </c>
      <c r="J121" t="n" s="17">
        <v>0</v>
      </c>
      <c r="K121" t="n" s="19">
        <v>0</v>
      </c>
    </row>
    <row r="122" hidden="0" ht="15" customHeight="1" spans="1:1">
      <c r="A122" t="str" s="16">
        <f>HYPERLINK("https://amazon.com/dp/B0FMQZM6YN", "B0FMQZM6YN")</f>
      </c>
      <c r="B122" t="s">
        <v>134</v>
      </c>
      <c r="C122" t="s">
        <v>16</v>
      </c>
      <c r="D122" t="n" s="17">
        <v>0</v>
      </c>
      <c r="E122" t="n" s="17">
        <v>0</v>
      </c>
      <c r="F122" t="n" s="17">
        <v>0</v>
      </c>
      <c r="G122" t="n" s="17">
        <v>0</v>
      </c>
      <c r="H122" t="n" s="17">
        <v>0</v>
      </c>
      <c r="I122" t="n" s="18">
        <v>0</v>
      </c>
      <c r="J122" t="n" s="17">
        <v>0</v>
      </c>
      <c r="K122" t="n" s="19">
        <v>0</v>
      </c>
    </row>
    <row r="123" hidden="0" ht="15" customHeight="1" spans="1:1">
      <c r="A123" t="str" s="16">
        <f>HYPERLINK("https://amazon.com/dp/B07ZKXKHSD", "B07ZKXKHSD")</f>
      </c>
      <c r="B123" t="s">
        <v>135</v>
      </c>
      <c r="C123" t="s">
        <v>13</v>
      </c>
      <c r="D123" t="n" s="17">
        <v>0</v>
      </c>
      <c r="E123" t="n" s="17">
        <v>39</v>
      </c>
      <c r="F123" t="n" s="17">
        <v>0</v>
      </c>
      <c r="G123" t="n" s="17">
        <v>0</v>
      </c>
      <c r="H123" t="n" s="17">
        <v>0</v>
      </c>
      <c r="I123" t="n" s="18">
        <v>0.0909</v>
      </c>
      <c r="J123" t="n" s="17">
        <v>5</v>
      </c>
      <c r="K123" t="n" s="19">
        <v>1576.95</v>
      </c>
    </row>
    <row r="124" hidden="0" ht="15" customHeight="1" spans="1:1">
      <c r="A124" t="str" s="16">
        <f>HYPERLINK("https://amazon.com/dp/B07TV5WQ78", "B07TV5WQ78")</f>
      </c>
      <c r="B124" t="s">
        <v>136</v>
      </c>
      <c r="C124" t="s">
        <v>13</v>
      </c>
      <c r="D124" t="n" s="17">
        <v>0</v>
      </c>
      <c r="E124" t="n" s="17">
        <v>697</v>
      </c>
      <c r="F124" t="n" s="17">
        <v>0</v>
      </c>
      <c r="G124" t="n" s="17">
        <v>0</v>
      </c>
      <c r="H124" t="n" s="17">
        <v>0</v>
      </c>
      <c r="I124" t="n" s="18">
        <v>0.0922</v>
      </c>
      <c r="J124" t="n" s="17">
        <v>66</v>
      </c>
      <c r="K124" t="n" s="19">
        <v>195794.24</v>
      </c>
    </row>
    <row r="125" hidden="0" ht="15" customHeight="1" spans="1:1">
      <c r="A125" t="str" s="16">
        <f>HYPERLINK("https://amazon.com/dp/B001PS4NWW", "B001PS4NWW")</f>
      </c>
      <c r="B125" t="s">
        <v>137</v>
      </c>
      <c r="C125" t="s">
        <v>13</v>
      </c>
      <c r="D125" t="n" s="17">
        <v>0</v>
      </c>
      <c r="E125" t="n" s="17">
        <v>0</v>
      </c>
      <c r="F125" t="n" s="17">
        <v>0</v>
      </c>
      <c r="G125" t="n" s="17">
        <v>0</v>
      </c>
      <c r="H125" t="n" s="17">
        <v>0</v>
      </c>
      <c r="I125" t="n" s="18">
        <v>0</v>
      </c>
      <c r="J125" t="n" s="17">
        <v>0</v>
      </c>
      <c r="K125" t="n" s="19">
        <v>0</v>
      </c>
    </row>
    <row r="126" hidden="0" ht="15" customHeight="1" spans="1:1">
      <c r="A126" t="str" s="16">
        <f>HYPERLINK("https://amazon.com/dp/B0759QMF85", "B0759QMF85")</f>
      </c>
      <c r="B126" t="s">
        <v>138</v>
      </c>
      <c r="C126" t="s">
        <v>13</v>
      </c>
      <c r="D126" t="n" s="17">
        <v>0</v>
      </c>
      <c r="E126" t="n" s="17">
        <v>0</v>
      </c>
      <c r="F126" t="n" s="17">
        <v>0</v>
      </c>
      <c r="G126" t="n" s="17">
        <v>0</v>
      </c>
      <c r="H126" t="n" s="17">
        <v>0</v>
      </c>
      <c r="I126" t="n" s="18">
        <v>0</v>
      </c>
      <c r="J126" t="n" s="17">
        <v>0</v>
      </c>
      <c r="K126" t="n" s="19">
        <v>0</v>
      </c>
    </row>
    <row r="127" hidden="0" ht="15" customHeight="1" spans="1:1">
      <c r="A127" t="str" s="16">
        <f>HYPERLINK("https://amazon.com/dp/B0CDHK3X3M", "B0CDHK3X3M")</f>
      </c>
      <c r="B127" t="s">
        <v>139</v>
      </c>
      <c r="C127" t="s">
        <v>13</v>
      </c>
      <c r="D127" t="n" s="17">
        <v>0</v>
      </c>
      <c r="E127" t="n" s="17">
        <v>4</v>
      </c>
      <c r="F127" t="n" s="17">
        <v>0</v>
      </c>
      <c r="G127" t="n" s="17">
        <v>0</v>
      </c>
      <c r="H127" t="n" s="17">
        <v>0</v>
      </c>
      <c r="I127" t="n" s="18">
        <v>0</v>
      </c>
      <c r="J127" t="n" s="17">
        <v>0</v>
      </c>
      <c r="K127" t="n" s="19">
        <v>0</v>
      </c>
    </row>
    <row r="128" hidden="0" ht="15" customHeight="1" spans="1:1">
      <c r="A128" t="str" s="16">
        <f>HYPERLINK("https://amazon.com/dp/B07JLWMLV2", "B07JLWMLV2")</f>
      </c>
      <c r="B128" t="s">
        <v>140</v>
      </c>
      <c r="C128" t="s">
        <v>13</v>
      </c>
      <c r="D128" t="n" s="17">
        <v>0</v>
      </c>
      <c r="E128" t="n" s="17">
        <v>0</v>
      </c>
      <c r="F128" t="n" s="17">
        <v>0</v>
      </c>
      <c r="G128" t="n" s="17">
        <v>0</v>
      </c>
      <c r="H128" t="n" s="17">
        <v>0</v>
      </c>
      <c r="I128" t="n" s="18">
        <v>0</v>
      </c>
      <c r="J128" t="n" s="17">
        <v>0</v>
      </c>
      <c r="K128" t="n" s="19">
        <v>0</v>
      </c>
    </row>
    <row r="129" hidden="0" ht="15" customHeight="1" spans="1:1">
      <c r="A129" t="str" s="16">
        <f>HYPERLINK("https://amazon.com/dp/B09TP595LZ", "B09TP595LZ")</f>
      </c>
      <c r="B129" t="s">
        <v>141</v>
      </c>
      <c r="C129" t="s">
        <v>16</v>
      </c>
      <c r="D129" t="n" s="17">
        <v>0</v>
      </c>
      <c r="E129" t="n" s="17">
        <v>0</v>
      </c>
      <c r="F129" t="n" s="17">
        <v>0</v>
      </c>
      <c r="G129" t="n" s="17">
        <v>0</v>
      </c>
      <c r="H129" t="n" s="17">
        <v>0</v>
      </c>
      <c r="I129" t="n" s="18">
        <v>0</v>
      </c>
      <c r="J129" t="n" s="17">
        <v>0</v>
      </c>
      <c r="K129" t="n" s="19">
        <v>0</v>
      </c>
    </row>
    <row r="130" hidden="0" ht="15" customHeight="1" spans="1:1">
      <c r="A130" t="str" s="16">
        <f>HYPERLINK("https://amazon.com/dp/B087RZVBQW", "B087RZVBQW")</f>
      </c>
      <c r="B130" t="s">
        <v>142</v>
      </c>
      <c r="C130" t="s">
        <v>16</v>
      </c>
      <c r="D130" t="n" s="17">
        <v>0</v>
      </c>
      <c r="E130" t="n" s="17">
        <v>90</v>
      </c>
      <c r="F130" t="n" s="17">
        <v>0</v>
      </c>
      <c r="G130" t="n" s="17">
        <v>0</v>
      </c>
      <c r="H130" t="n" s="17">
        <v>0</v>
      </c>
      <c r="I130" t="n" s="18">
        <v>0.0146</v>
      </c>
      <c r="J130" t="n" s="17">
        <v>3</v>
      </c>
      <c r="K130" t="n" s="19">
        <v>922.5</v>
      </c>
    </row>
    <row r="131" hidden="0" ht="15" customHeight="1" spans="1:1">
      <c r="A131" t="str" s="16">
        <f>HYPERLINK("https://amazon.com/dp/B08FX98B59", "B08FX98B59")</f>
      </c>
      <c r="B131" t="s">
        <v>143</v>
      </c>
      <c r="C131" t="s">
        <v>13</v>
      </c>
      <c r="D131" t="n" s="17">
        <v>0</v>
      </c>
      <c r="E131" t="n" s="17">
        <v>0</v>
      </c>
      <c r="F131" t="n" s="17">
        <v>0</v>
      </c>
      <c r="G131" t="n" s="17">
        <v>0</v>
      </c>
      <c r="H131" t="n" s="17">
        <v>0</v>
      </c>
      <c r="I131" t="n" s="18">
        <v>0</v>
      </c>
      <c r="J131" t="n" s="17">
        <v>0</v>
      </c>
      <c r="K131" t="n" s="19">
        <v>0</v>
      </c>
    </row>
    <row r="132" hidden="0" ht="15" customHeight="1" spans="1:1">
      <c r="A132" t="str" s="16">
        <f>HYPERLINK("https://amazon.com/dp/B0B6CKMLQH", "B0B6CKMLQH")</f>
      </c>
      <c r="B132" t="s">
        <v>144</v>
      </c>
      <c r="C132" t="s">
        <v>16</v>
      </c>
      <c r="D132" t="n" s="17">
        <v>0</v>
      </c>
      <c r="E132" t="n" s="17">
        <v>0</v>
      </c>
      <c r="F132" t="n" s="17">
        <v>0</v>
      </c>
      <c r="G132" t="n" s="17">
        <v>0</v>
      </c>
      <c r="H132" t="n" s="17">
        <v>0</v>
      </c>
      <c r="I132" t="n" s="18">
        <v>0</v>
      </c>
      <c r="J132" t="n" s="17">
        <v>0</v>
      </c>
      <c r="K132" t="n" s="19">
        <v>0</v>
      </c>
    </row>
    <row r="133" hidden="0" ht="15" customHeight="1" spans="1:1">
      <c r="A133" t="str" s="16">
        <f>HYPERLINK("https://amazon.com/dp/B08D8QTNKG", "B08D8QTNKG")</f>
      </c>
      <c r="B133" t="s">
        <v>145</v>
      </c>
      <c r="C133" t="s">
        <v>13</v>
      </c>
      <c r="D133" t="n" s="17">
        <v>0</v>
      </c>
      <c r="E133" t="n" s="17">
        <v>0</v>
      </c>
      <c r="F133" t="n" s="17">
        <v>0</v>
      </c>
      <c r="G133" t="n" s="17">
        <v>0</v>
      </c>
      <c r="H133" t="n" s="17">
        <v>0</v>
      </c>
      <c r="I133" t="n" s="18">
        <v>0</v>
      </c>
      <c r="J133" t="n" s="17">
        <v>0</v>
      </c>
      <c r="K133" t="n" s="19">
        <v>0</v>
      </c>
    </row>
    <row r="134" hidden="0" ht="15" customHeight="1" spans="1:1">
      <c r="A134" t="str" s="16">
        <f>HYPERLINK("https://amazon.com/dp/B0GVKC1PF6", "B0GVKC1PF6")</f>
      </c>
      <c r="B134" t="s">
        <v>146</v>
      </c>
      <c r="C134" t="s">
        <v>13</v>
      </c>
      <c r="D134" t="n" s="17">
        <v>0</v>
      </c>
      <c r="E134" t="n" s="17">
        <v>37</v>
      </c>
      <c r="F134" t="n" s="17">
        <v>0</v>
      </c>
      <c r="G134" t="n" s="17">
        <v>0</v>
      </c>
      <c r="H134" t="n" s="17">
        <v>0</v>
      </c>
      <c r="I134" t="n" s="18">
        <v>0</v>
      </c>
      <c r="J134" t="n" s="17">
        <v>0</v>
      </c>
      <c r="K134" t="n" s="19">
        <v>0</v>
      </c>
    </row>
    <row r="135" hidden="0" ht="15" customHeight="1" spans="1:1">
      <c r="A135" t="str" s="16">
        <f>HYPERLINK("https://amazon.com/dp/B07TFZWD2R", "B07TFZWD2R")</f>
      </c>
      <c r="B135" t="s">
        <v>147</v>
      </c>
      <c r="C135" t="s">
        <v>13</v>
      </c>
      <c r="D135" t="n" s="17">
        <v>0</v>
      </c>
      <c r="E135" t="n" s="17">
        <v>0</v>
      </c>
      <c r="F135" t="n" s="17">
        <v>0</v>
      </c>
      <c r="G135" t="n" s="17">
        <v>0</v>
      </c>
      <c r="H135" t="n" s="17">
        <v>0</v>
      </c>
      <c r="I135" t="n" s="18">
        <v>0</v>
      </c>
      <c r="J135" t="n" s="17">
        <v>0</v>
      </c>
      <c r="K135" t="n" s="19">
        <v>0</v>
      </c>
    </row>
    <row r="136" hidden="0" ht="15" customHeight="1" spans="1:1">
      <c r="A136" t="str" s="16">
        <f>HYPERLINK("https://amazon.com/dp/B083FF167K", "B083FF167K")</f>
      </c>
      <c r="B136" t="s">
        <v>148</v>
      </c>
      <c r="C136" t="s">
        <v>16</v>
      </c>
      <c r="D136" t="n" s="17">
        <v>0</v>
      </c>
      <c r="E136" t="n" s="17">
        <v>0</v>
      </c>
      <c r="F136" t="n" s="17">
        <v>0</v>
      </c>
      <c r="G136" t="n" s="17">
        <v>0</v>
      </c>
      <c r="H136" t="n" s="17">
        <v>0</v>
      </c>
      <c r="I136" t="n" s="18">
        <v>0</v>
      </c>
      <c r="J136" t="n" s="17">
        <v>0</v>
      </c>
      <c r="K136" t="n" s="19">
        <v>0</v>
      </c>
    </row>
    <row r="137" hidden="0" ht="15" customHeight="1" spans="1:1">
      <c r="A137" t="str" s="16">
        <f>HYPERLINK("https://amazon.com/dp/B07GVR9TG7", "B07GVR9TG7")</f>
      </c>
      <c r="B137" t="s">
        <v>149</v>
      </c>
      <c r="C137" t="s">
        <v>13</v>
      </c>
      <c r="D137" t="n" s="17">
        <v>0</v>
      </c>
      <c r="E137" t="n" s="17">
        <v>0</v>
      </c>
      <c r="F137" t="n" s="17">
        <v>0</v>
      </c>
      <c r="G137" t="n" s="17">
        <v>0</v>
      </c>
      <c r="H137" t="n" s="17">
        <v>0</v>
      </c>
      <c r="I137" t="n" s="18">
        <v>0</v>
      </c>
      <c r="J137" t="n" s="17">
        <v>0</v>
      </c>
      <c r="K137" t="n" s="19">
        <v>0</v>
      </c>
    </row>
    <row r="138" hidden="0" ht="15" customHeight="1" spans="1:1">
      <c r="A138" t="str" s="16">
        <f>HYPERLINK("https://amazon.com/dp/B08WPD7LDZ", "B08WPD7LDZ")</f>
      </c>
      <c r="B138" t="s">
        <v>150</v>
      </c>
      <c r="C138" t="s">
        <v>13</v>
      </c>
      <c r="D138" t="n" s="17">
        <v>0</v>
      </c>
      <c r="E138" t="n" s="17">
        <v>45</v>
      </c>
      <c r="F138" t="n" s="17">
        <v>0</v>
      </c>
      <c r="G138" t="n" s="17">
        <v>0</v>
      </c>
      <c r="H138" t="n" s="17">
        <v>0</v>
      </c>
      <c r="I138" t="n" s="18">
        <v>0.0667</v>
      </c>
      <c r="J138" t="n" s="17">
        <v>3</v>
      </c>
      <c r="K138" t="n" s="19">
        <v>44191.25</v>
      </c>
    </row>
    <row r="139" hidden="0" ht="15" customHeight="1" spans="1:1">
      <c r="A139" t="str" s="16">
        <f>HYPERLINK("https://amazon.com/dp/B0722XW4PD", "B0722XW4PD")</f>
      </c>
      <c r="B139" t="s">
        <v>151</v>
      </c>
      <c r="C139" t="s">
        <v>13</v>
      </c>
      <c r="D139" t="n" s="17">
        <v>0</v>
      </c>
      <c r="E139" t="n" s="17">
        <v>26</v>
      </c>
      <c r="F139" t="n" s="17">
        <v>0</v>
      </c>
      <c r="G139" t="n" s="17">
        <v>0</v>
      </c>
      <c r="H139" t="n" s="17">
        <v>0</v>
      </c>
      <c r="I139" t="n" s="18">
        <v>0.15380000000000002</v>
      </c>
      <c r="J139" t="n" s="17">
        <v>4</v>
      </c>
      <c r="K139" t="n" s="19">
        <v>16041.12</v>
      </c>
    </row>
    <row r="140" hidden="0" ht="15" customHeight="1" spans="1:1">
      <c r="A140" t="str" s="16">
        <f>HYPERLINK("https://amazon.com/dp/B0FGXQQMKW", "B0FGXQQMKW")</f>
      </c>
      <c r="B140" t="s">
        <v>152</v>
      </c>
      <c r="C140" t="s">
        <v>13</v>
      </c>
      <c r="D140" t="n" s="17">
        <v>0</v>
      </c>
      <c r="E140" t="n" s="17">
        <v>80</v>
      </c>
      <c r="F140" t="n" s="17">
        <v>0</v>
      </c>
      <c r="G140" t="n" s="17">
        <v>0</v>
      </c>
      <c r="H140" t="n" s="17">
        <v>0</v>
      </c>
      <c r="I140" t="n" s="18">
        <v>0</v>
      </c>
      <c r="J140" t="n" s="17">
        <v>0</v>
      </c>
      <c r="K140" t="n" s="19">
        <v>0</v>
      </c>
    </row>
    <row r="141" hidden="0" ht="15" customHeight="1" spans="1:1">
      <c r="A141" t="str" s="16">
        <f>HYPERLINK("https://amazon.com/dp/B0C3D25NPN", "B0C3D25NPN")</f>
      </c>
      <c r="B141" t="s">
        <v>153</v>
      </c>
      <c r="C141" t="s">
        <v>13</v>
      </c>
      <c r="D141" t="n" s="17">
        <v>0</v>
      </c>
      <c r="E141" t="n" s="17">
        <v>0</v>
      </c>
      <c r="F141" t="n" s="17">
        <v>0</v>
      </c>
      <c r="G141" t="n" s="17">
        <v>0</v>
      </c>
      <c r="H141" t="n" s="17">
        <v>0</v>
      </c>
      <c r="I141" t="n" s="18">
        <v>0</v>
      </c>
      <c r="J141" t="n" s="17">
        <v>0</v>
      </c>
      <c r="K141" t="n" s="19">
        <v>0</v>
      </c>
    </row>
    <row r="142" hidden="0" ht="15" customHeight="1" spans="1:1">
      <c r="A142" t="str" s="16">
        <f>HYPERLINK("https://amazon.com/dp/B071LPJNQZ", "B071LPJNQZ")</f>
      </c>
      <c r="B142" t="s">
        <v>154</v>
      </c>
      <c r="C142" t="s">
        <v>29</v>
      </c>
      <c r="D142" t="n" s="17">
        <v>0</v>
      </c>
      <c r="E142" t="n" s="17">
        <v>0</v>
      </c>
      <c r="F142" t="n" s="17">
        <v>0</v>
      </c>
      <c r="G142" t="n" s="17">
        <v>0</v>
      </c>
      <c r="H142" t="n" s="17">
        <v>0</v>
      </c>
      <c r="I142" t="n" s="18">
        <v>0</v>
      </c>
      <c r="J142" t="n" s="17">
        <v>0</v>
      </c>
      <c r="K142" t="n" s="19">
        <v>0</v>
      </c>
    </row>
    <row r="143" hidden="0" ht="15" customHeight="1" spans="1:1">
      <c r="A143" t="str" s="16">
        <f>HYPERLINK("https://amazon.com/dp/B098K3VCHC", "B098K3VCHC")</f>
      </c>
      <c r="B143" t="s">
        <v>155</v>
      </c>
      <c r="C143" t="s">
        <v>13</v>
      </c>
      <c r="D143" t="n" s="17">
        <v>0</v>
      </c>
      <c r="E143" t="n" s="17">
        <v>0</v>
      </c>
      <c r="F143" t="n" s="17">
        <v>0</v>
      </c>
      <c r="G143" t="n" s="17">
        <v>0</v>
      </c>
      <c r="H143" t="n" s="17">
        <v>0</v>
      </c>
      <c r="I143" t="n" s="18">
        <v>0</v>
      </c>
      <c r="J143" t="n" s="17">
        <v>0</v>
      </c>
      <c r="K143" t="n" s="19">
        <v>0</v>
      </c>
    </row>
    <row r="144" hidden="0" ht="15" customHeight="1" spans="1:1">
      <c r="A144" t="str" s="16">
        <f>HYPERLINK("https://amazon.com/dp/B004UBUJZG", "B004UBUJZG")</f>
      </c>
      <c r="B144" t="s">
        <v>156</v>
      </c>
      <c r="C144" t="s">
        <v>13</v>
      </c>
      <c r="D144" t="n" s="17">
        <v>0</v>
      </c>
      <c r="E144" t="n" s="17">
        <v>0</v>
      </c>
      <c r="F144" t="n" s="17">
        <v>0</v>
      </c>
      <c r="G144" t="n" s="17">
        <v>0</v>
      </c>
      <c r="H144" t="n" s="17">
        <v>0</v>
      </c>
      <c r="I144" t="n" s="18">
        <v>0</v>
      </c>
      <c r="J144" t="n" s="17">
        <v>0</v>
      </c>
      <c r="K144" t="n" s="19">
        <v>0</v>
      </c>
    </row>
    <row r="145" hidden="0" ht="15" customHeight="1" spans="1:1">
      <c r="A145" t="str" s="16">
        <f>HYPERLINK("https://amazon.com/dp/B0763TGBTS", "B0763TGBTS")</f>
      </c>
      <c r="B145" t="s">
        <v>157</v>
      </c>
      <c r="C145" t="s">
        <v>13</v>
      </c>
      <c r="D145" t="n" s="17">
        <v>0</v>
      </c>
      <c r="E145" t="n" s="17">
        <v>0</v>
      </c>
      <c r="F145" t="n" s="17">
        <v>0</v>
      </c>
      <c r="G145" t="n" s="17">
        <v>0</v>
      </c>
      <c r="H145" t="n" s="17">
        <v>0</v>
      </c>
      <c r="I145" t="n" s="18">
        <v>0</v>
      </c>
      <c r="J145" t="n" s="17">
        <v>0</v>
      </c>
      <c r="K145" t="n" s="19">
        <v>0</v>
      </c>
    </row>
    <row r="146" hidden="0" ht="15" customHeight="1" spans="1:1">
      <c r="A146" t="str" s="16">
        <f>HYPERLINK("https://amazon.com/dp/B00EYW1U68", "B00EYW1U68")</f>
      </c>
      <c r="B146" t="s">
        <v>158</v>
      </c>
      <c r="C146" t="s">
        <v>13</v>
      </c>
      <c r="D146" t="n" s="17">
        <v>0</v>
      </c>
      <c r="E146" t="n" s="17">
        <v>438</v>
      </c>
      <c r="F146" t="n" s="17">
        <v>0</v>
      </c>
      <c r="G146" t="n" s="17">
        <v>0</v>
      </c>
      <c r="H146" t="n" s="17">
        <v>0</v>
      </c>
      <c r="I146" t="n" s="18">
        <v>0.0693</v>
      </c>
      <c r="J146" t="n" s="17">
        <v>32</v>
      </c>
      <c r="K146" t="n" s="19">
        <v>20241.28</v>
      </c>
    </row>
    <row r="147" hidden="0" ht="15" customHeight="1" spans="1:1">
      <c r="A147" t="str" s="16">
        <f>HYPERLINK("https://amazon.com/dp/B0799C35LV", "B0799C35LV")</f>
      </c>
      <c r="B147" t="s">
        <v>159</v>
      </c>
      <c r="C147" t="s">
        <v>13</v>
      </c>
      <c r="D147" t="n" s="17">
        <v>0</v>
      </c>
      <c r="E147" t="n" s="17">
        <v>41</v>
      </c>
      <c r="F147" t="n" s="17">
        <v>0</v>
      </c>
      <c r="G147" t="n" s="17">
        <v>0</v>
      </c>
      <c r="H147" t="n" s="17">
        <v>0</v>
      </c>
      <c r="I147" t="n" s="18">
        <v>0.0732</v>
      </c>
      <c r="J147" t="n" s="17">
        <v>3</v>
      </c>
      <c r="K147" t="n" s="19">
        <v>1072.5</v>
      </c>
    </row>
    <row r="148" hidden="0" ht="15" customHeight="1" spans="1:1">
      <c r="A148" t="str" s="16">
        <f>HYPERLINK("https://amazon.com/dp/B0FQV6J9DB", "B0FQV6J9DB")</f>
      </c>
      <c r="B148" t="s">
        <v>160</v>
      </c>
      <c r="C148" t="s">
        <v>13</v>
      </c>
      <c r="D148" t="n" s="17">
        <v>0</v>
      </c>
      <c r="E148" t="n" s="17">
        <v>0</v>
      </c>
      <c r="F148" t="n" s="17">
        <v>0</v>
      </c>
      <c r="G148" t="n" s="17">
        <v>0</v>
      </c>
      <c r="H148" t="n" s="17">
        <v>0</v>
      </c>
      <c r="I148" t="n" s="18">
        <v>0</v>
      </c>
      <c r="J148" t="n" s="17">
        <v>0</v>
      </c>
      <c r="K148" t="n" s="19">
        <v>0</v>
      </c>
    </row>
    <row r="149" hidden="0" ht="15" customHeight="1" spans="1:1">
      <c r="A149" t="str" s="16">
        <f>HYPERLINK("https://amazon.com/dp/B0DNSMY4NL", "B0DNSMY4NL")</f>
      </c>
      <c r="B149" t="s">
        <v>161</v>
      </c>
      <c r="C149" t="s">
        <v>13</v>
      </c>
      <c r="D149" t="n" s="17">
        <v>0</v>
      </c>
      <c r="E149" t="n" s="17">
        <v>267</v>
      </c>
      <c r="F149" t="n" s="17">
        <v>0</v>
      </c>
      <c r="G149" t="n" s="17">
        <v>0</v>
      </c>
      <c r="H149" t="n" s="17">
        <v>0</v>
      </c>
      <c r="I149" t="n" s="18">
        <v>0.1222</v>
      </c>
      <c r="J149" t="n" s="17">
        <v>33</v>
      </c>
      <c r="K149" t="n" s="19">
        <v>19772.61</v>
      </c>
    </row>
    <row r="150" hidden="0" ht="15" customHeight="1" spans="1:1">
      <c r="A150" t="str" s="16">
        <f>HYPERLINK("https://amazon.com/dp/B0DK5TR1XS", "B0DK5TR1XS")</f>
      </c>
      <c r="B150" t="s">
        <v>162</v>
      </c>
      <c r="C150" t="s">
        <v>16</v>
      </c>
      <c r="D150" t="n" s="17">
        <v>0</v>
      </c>
      <c r="E150" t="n" s="17">
        <v>0</v>
      </c>
      <c r="F150" t="n" s="17">
        <v>0</v>
      </c>
      <c r="G150" t="n" s="17">
        <v>0</v>
      </c>
      <c r="H150" t="n" s="17">
        <v>0</v>
      </c>
      <c r="I150" t="n" s="18">
        <v>0</v>
      </c>
      <c r="J150" t="n" s="17">
        <v>0</v>
      </c>
      <c r="K150" t="n" s="19">
        <v>0</v>
      </c>
    </row>
    <row r="151" hidden="0" ht="15" customHeight="1" spans="1:1">
      <c r="A151" t="str" s="16">
        <f>HYPERLINK("https://amazon.com/dp/B071RSD473", "B071RSD473")</f>
      </c>
      <c r="B151" t="s">
        <v>163</v>
      </c>
      <c r="C151" t="s">
        <v>13</v>
      </c>
      <c r="D151" t="n" s="17">
        <v>0</v>
      </c>
      <c r="E151" t="n" s="17">
        <v>38</v>
      </c>
      <c r="F151" t="n" s="17">
        <v>0</v>
      </c>
      <c r="G151" t="n" s="17">
        <v>0</v>
      </c>
      <c r="H151" t="n" s="17">
        <v>0</v>
      </c>
      <c r="I151" t="n" s="18">
        <v>0.0070999999999999995</v>
      </c>
      <c r="J151" t="n" s="17">
        <v>1</v>
      </c>
      <c r="K151" t="n" s="19">
        <v>1082.5</v>
      </c>
    </row>
    <row r="152" hidden="0" ht="15" customHeight="1" spans="1:1">
      <c r="A152" t="str" s="16">
        <f>HYPERLINK("https://amazon.com/dp/B01IUDUJE0", "B01IUDUJE0")</f>
      </c>
      <c r="B152" t="s">
        <v>164</v>
      </c>
      <c r="C152" t="s">
        <v>13</v>
      </c>
      <c r="D152" t="n" s="17">
        <v>0</v>
      </c>
      <c r="E152" t="n" s="17">
        <v>0</v>
      </c>
      <c r="F152" t="n" s="17">
        <v>0</v>
      </c>
      <c r="G152" t="n" s="17">
        <v>0</v>
      </c>
      <c r="H152" t="n" s="17">
        <v>0</v>
      </c>
      <c r="I152" t="n" s="18">
        <v>0</v>
      </c>
      <c r="J152" t="n" s="17">
        <v>0</v>
      </c>
      <c r="K152" t="n" s="19">
        <v>0</v>
      </c>
    </row>
    <row r="153" hidden="0" ht="15" customHeight="1" spans="1:1">
      <c r="A153" t="str" s="16">
        <f>HYPERLINK("https://amazon.com/dp/B0F1BXSRJC", "B0F1BXSRJC")</f>
      </c>
      <c r="B153" t="s">
        <v>165</v>
      </c>
      <c r="C153" t="s">
        <v>13</v>
      </c>
      <c r="D153" t="n" s="17">
        <v>0</v>
      </c>
      <c r="E153" t="n" s="17">
        <v>96</v>
      </c>
      <c r="F153" t="n" s="17">
        <v>0</v>
      </c>
      <c r="G153" t="n" s="17">
        <v>0</v>
      </c>
      <c r="H153" t="n" s="17">
        <v>0</v>
      </c>
      <c r="I153" t="n" s="18">
        <v>0</v>
      </c>
      <c r="J153" t="n" s="17">
        <v>0</v>
      </c>
      <c r="K153" t="n" s="19">
        <v>0</v>
      </c>
    </row>
    <row r="154" hidden="0" ht="15" customHeight="1" spans="1:1">
      <c r="A154" t="str" s="16">
        <f>HYPERLINK("https://amazon.com/dp/B0C5Y4LW7V", "B0C5Y4LW7V")</f>
      </c>
      <c r="B154" t="s">
        <v>166</v>
      </c>
      <c r="C154" t="s">
        <v>13</v>
      </c>
      <c r="D154" t="n" s="17">
        <v>0</v>
      </c>
      <c r="E154" t="n" s="17">
        <v>101</v>
      </c>
      <c r="F154" t="n" s="17">
        <v>0</v>
      </c>
      <c r="G154" t="n" s="17">
        <v>0</v>
      </c>
      <c r="H154" t="n" s="17">
        <v>0</v>
      </c>
      <c r="I154" t="n" s="18">
        <v>0</v>
      </c>
      <c r="J154" t="n" s="17">
        <v>0</v>
      </c>
      <c r="K154" t="n" s="19">
        <v>0</v>
      </c>
    </row>
    <row r="155" hidden="0" ht="15" customHeight="1" spans="1:1">
      <c r="A155" t="str" s="16">
        <f>HYPERLINK("https://amazon.com/dp/B0D6W1FWJG", "B0D6W1FWJG")</f>
      </c>
      <c r="B155" t="s">
        <v>167</v>
      </c>
      <c r="C155" t="s">
        <v>13</v>
      </c>
      <c r="D155" t="n" s="17">
        <v>0</v>
      </c>
      <c r="E155" t="n" s="17">
        <v>170</v>
      </c>
      <c r="F155" t="n" s="17">
        <v>0</v>
      </c>
      <c r="G155" t="n" s="17">
        <v>0</v>
      </c>
      <c r="H155" t="n" s="17">
        <v>0</v>
      </c>
      <c r="I155" t="n" s="18">
        <v>0.044199999999999996</v>
      </c>
      <c r="J155" t="n" s="17">
        <v>10</v>
      </c>
      <c r="K155" t="n" s="19">
        <v>33788.67</v>
      </c>
    </row>
    <row r="156" hidden="0" ht="15" customHeight="1" spans="1:1">
      <c r="A156" t="str" s="16">
        <f>HYPERLINK("https://amazon.com/dp/B0141JTLDM", "B0141JTLDM")</f>
      </c>
      <c r="B156" t="s">
        <v>168</v>
      </c>
      <c r="C156" t="s">
        <v>13</v>
      </c>
      <c r="D156" t="n" s="17">
        <v>0</v>
      </c>
      <c r="E156" t="n" s="17">
        <v>0</v>
      </c>
      <c r="F156" t="n" s="17">
        <v>0</v>
      </c>
      <c r="G156" t="n" s="17">
        <v>0</v>
      </c>
      <c r="H156" t="n" s="17">
        <v>0</v>
      </c>
      <c r="I156" t="n" s="18">
        <v>0</v>
      </c>
      <c r="J156" t="n" s="17">
        <v>0</v>
      </c>
      <c r="K156" t="n" s="19">
        <v>0</v>
      </c>
    </row>
    <row r="157" hidden="0" ht="15" customHeight="1" spans="1:1">
      <c r="A157" t="str" s="16">
        <f>HYPERLINK("https://amazon.com/dp/B094DM9LZQ", "B094DM9LZQ")</f>
      </c>
      <c r="B157" t="s">
        <v>169</v>
      </c>
      <c r="C157" t="s">
        <v>16</v>
      </c>
      <c r="D157" t="n" s="17">
        <v>0</v>
      </c>
      <c r="E157" t="n" s="17">
        <v>220</v>
      </c>
      <c r="F157" t="n" s="17">
        <v>0</v>
      </c>
      <c r="G157" t="n" s="17">
        <v>0</v>
      </c>
      <c r="H157" t="n" s="17">
        <v>0</v>
      </c>
      <c r="I157" t="n" s="18">
        <v>0.0315</v>
      </c>
      <c r="J157" t="n" s="17">
        <v>8</v>
      </c>
      <c r="K157" t="n" s="19">
        <v>8738.71</v>
      </c>
    </row>
    <row r="158" hidden="0" ht="15" customHeight="1" spans="1:1">
      <c r="A158" t="str" s="16">
        <f>HYPERLINK("https://amazon.com/dp/B0DCZWWTP9", "B0DCZWWTP9")</f>
      </c>
      <c r="B158" t="s">
        <v>170</v>
      </c>
      <c r="C158" t="s">
        <v>13</v>
      </c>
      <c r="D158" t="n" s="17">
        <v>0</v>
      </c>
      <c r="E158" t="n" s="17">
        <v>72</v>
      </c>
      <c r="F158" t="n" s="17">
        <v>0</v>
      </c>
      <c r="G158" t="n" s="17">
        <v>0</v>
      </c>
      <c r="H158" t="n" s="17">
        <v>0</v>
      </c>
      <c r="I158" t="n" s="18">
        <v>0.1235</v>
      </c>
      <c r="J158" t="n" s="17">
        <v>10</v>
      </c>
      <c r="K158" t="n" s="19">
        <v>24991.7</v>
      </c>
    </row>
    <row r="159" hidden="0" ht="15" customHeight="1" spans="1:1">
      <c r="A159" t="str" s="16">
        <f>HYPERLINK("https://amazon.com/dp/B07L45LZP5", "B07L45LZP5")</f>
      </c>
      <c r="B159" t="s">
        <v>171</v>
      </c>
      <c r="C159" t="s">
        <v>13</v>
      </c>
      <c r="D159" t="n" s="17">
        <v>0</v>
      </c>
      <c r="E159" t="n" s="17">
        <v>282</v>
      </c>
      <c r="F159" t="n" s="17">
        <v>0</v>
      </c>
      <c r="G159" t="n" s="17">
        <v>0</v>
      </c>
      <c r="H159" t="n" s="17">
        <v>0</v>
      </c>
      <c r="I159" t="n" s="18">
        <v>0.045599999999999995</v>
      </c>
      <c r="J159" t="n" s="17">
        <v>13</v>
      </c>
      <c r="K159" t="n" s="19">
        <v>61132.09</v>
      </c>
    </row>
    <row r="160" hidden="0" ht="15" customHeight="1" spans="1:1">
      <c r="A160" t="str" s="16">
        <f>HYPERLINK("https://amazon.com/dp/B0GVTV9TDS", "B0GVTV9TDS")</f>
      </c>
      <c r="B160" t="s">
        <v>172</v>
      </c>
      <c r="C160" t="s">
        <v>16</v>
      </c>
      <c r="D160" t="n" s="17">
        <v>0</v>
      </c>
      <c r="E160" t="n" s="17">
        <v>180</v>
      </c>
      <c r="F160" t="n" s="17">
        <v>0</v>
      </c>
      <c r="G160" t="n" s="17">
        <v>0</v>
      </c>
      <c r="H160" t="n" s="17">
        <v>0</v>
      </c>
      <c r="I160" t="n" s="18">
        <v>0.07139999999999999</v>
      </c>
      <c r="J160" t="n" s="17">
        <v>13</v>
      </c>
      <c r="K160" t="n" s="19">
        <v>28805.79</v>
      </c>
    </row>
    <row r="161" hidden="0" ht="15" customHeight="1" spans="1:1">
      <c r="A161" t="str" s="16">
        <f>HYPERLINK("https://amazon.com/dp/B0BJ2BQJD1", "B0BJ2BQJD1")</f>
      </c>
      <c r="B161" t="s">
        <v>173</v>
      </c>
      <c r="C161" t="s">
        <v>13</v>
      </c>
      <c r="D161" t="n" s="17">
        <v>0</v>
      </c>
      <c r="E161" t="n" s="17">
        <v>0</v>
      </c>
      <c r="F161" t="n" s="17">
        <v>0</v>
      </c>
      <c r="G161" t="n" s="17">
        <v>0</v>
      </c>
      <c r="H161" t="n" s="17">
        <v>0</v>
      </c>
      <c r="I161" t="n" s="18">
        <v>0</v>
      </c>
      <c r="J161" t="n" s="17">
        <v>0</v>
      </c>
      <c r="K161" t="n" s="19">
        <v>0</v>
      </c>
    </row>
    <row r="162" hidden="0" ht="15" customHeight="1" spans="1:1">
      <c r="A162" t="str" s="16">
        <f>HYPERLINK("https://amazon.com/dp/B08P94H63W", "B08P94H63W")</f>
      </c>
      <c r="B162" t="s">
        <v>174</v>
      </c>
      <c r="C162" t="s">
        <v>13</v>
      </c>
      <c r="D162" t="n" s="17">
        <v>0</v>
      </c>
      <c r="E162" t="n" s="17">
        <v>145</v>
      </c>
      <c r="F162" t="n" s="17">
        <v>0</v>
      </c>
      <c r="G162" t="n" s="17">
        <v>0</v>
      </c>
      <c r="H162" t="n" s="17">
        <v>0</v>
      </c>
      <c r="I162" t="n" s="18">
        <v>0.0207</v>
      </c>
      <c r="J162" t="n" s="17">
        <v>3</v>
      </c>
      <c r="K162" t="n" s="19">
        <v>14186.62</v>
      </c>
    </row>
    <row r="163" hidden="0" ht="15" customHeight="1" spans="1:1">
      <c r="A163" t="str" s="16">
        <f>HYPERLINK("https://amazon.com/dp/B01DW6Z2YM", "B01DW6Z2YM")</f>
      </c>
      <c r="B163" t="s">
        <v>175</v>
      </c>
      <c r="C163" t="s">
        <v>13</v>
      </c>
      <c r="D163" t="n" s="17">
        <v>0</v>
      </c>
      <c r="E163" t="n" s="17">
        <v>0</v>
      </c>
      <c r="F163" t="n" s="17">
        <v>0</v>
      </c>
      <c r="G163" t="n" s="17">
        <v>0</v>
      </c>
      <c r="H163" t="n" s="17">
        <v>0</v>
      </c>
      <c r="I163" t="n" s="18">
        <v>0</v>
      </c>
      <c r="J163" t="n" s="17">
        <v>0</v>
      </c>
      <c r="K163" t="n" s="19">
        <v>0</v>
      </c>
    </row>
    <row r="164" hidden="0" ht="15" customHeight="1" spans="1:1">
      <c r="A164" t="str" s="16">
        <f>HYPERLINK("https://amazon.com/dp/B0CTGP557X", "B0CTGP557X")</f>
      </c>
      <c r="B164" t="s">
        <v>176</v>
      </c>
      <c r="C164" t="s">
        <v>29</v>
      </c>
      <c r="D164" t="n" s="17">
        <v>0</v>
      </c>
      <c r="E164" t="n" s="17">
        <v>224</v>
      </c>
      <c r="F164" t="n" s="17">
        <v>0</v>
      </c>
      <c r="G164" t="n" s="17">
        <v>0</v>
      </c>
      <c r="H164" t="n" s="17">
        <v>0</v>
      </c>
      <c r="I164" t="n" s="18">
        <v>0.0218</v>
      </c>
      <c r="J164" t="n" s="17">
        <v>5</v>
      </c>
      <c r="K164" t="n" s="19">
        <v>7079.15</v>
      </c>
    </row>
    <row r="165" hidden="0" ht="15" customHeight="1" spans="1:1">
      <c r="A165" t="str" s="16">
        <f>HYPERLINK("https://amazon.com/dp/B001800S6M", "B001800S6M")</f>
      </c>
      <c r="B165" t="s">
        <v>177</v>
      </c>
      <c r="C165" t="s">
        <v>13</v>
      </c>
      <c r="D165" t="n" s="17">
        <v>0</v>
      </c>
      <c r="E165" t="n" s="17">
        <v>4</v>
      </c>
      <c r="F165" t="n" s="17">
        <v>0</v>
      </c>
      <c r="G165" t="n" s="17">
        <v>0</v>
      </c>
      <c r="H165" t="n" s="17">
        <v>0</v>
      </c>
      <c r="I165" t="n" s="18">
        <v>0</v>
      </c>
      <c r="J165" t="n" s="17">
        <v>0</v>
      </c>
      <c r="K165" t="n" s="19">
        <v>0</v>
      </c>
    </row>
    <row r="166" hidden="0" ht="15" customHeight="1" spans="1:1">
      <c r="A166" t="str" s="16">
        <f>HYPERLINK("https://amazon.com/dp/B08R6H6931", "B08R6H6931")</f>
      </c>
      <c r="B166" t="s">
        <v>178</v>
      </c>
      <c r="C166" t="s">
        <v>13</v>
      </c>
      <c r="D166" t="n" s="17">
        <v>0</v>
      </c>
      <c r="E166" t="n" s="17">
        <v>144</v>
      </c>
      <c r="F166" t="n" s="17">
        <v>0</v>
      </c>
      <c r="G166" t="n" s="17">
        <v>0</v>
      </c>
      <c r="H166" t="n" s="17">
        <v>0</v>
      </c>
      <c r="I166" t="n" s="18">
        <v>0.0184</v>
      </c>
      <c r="J166" t="n" s="17">
        <v>5</v>
      </c>
      <c r="K166" t="n" s="19">
        <v>13316.65</v>
      </c>
    </row>
    <row r="167" hidden="0" ht="15" customHeight="1" spans="1:1">
      <c r="A167" t="str" s="16">
        <f>HYPERLINK("https://amazon.com/dp/B0064GOQ5O", "B0064GOQ5O")</f>
      </c>
      <c r="B167" t="s">
        <v>179</v>
      </c>
      <c r="C167" t="s">
        <v>13</v>
      </c>
      <c r="D167" t="n" s="17">
        <v>0</v>
      </c>
      <c r="E167" t="n" s="17">
        <v>18</v>
      </c>
      <c r="F167" t="n" s="17">
        <v>0</v>
      </c>
      <c r="G167" t="n" s="17">
        <v>0</v>
      </c>
      <c r="H167" t="n" s="17">
        <v>0</v>
      </c>
      <c r="I167" t="n" s="18">
        <v>0.09519999999999999</v>
      </c>
      <c r="J167" t="n" s="17">
        <v>2</v>
      </c>
      <c r="K167" t="n" s="19">
        <v>3101.26</v>
      </c>
    </row>
    <row r="168" hidden="0" ht="15" customHeight="1" spans="1:1">
      <c r="A168" t="str" s="16">
        <f>HYPERLINK("https://amazon.com/dp/B001VFS5B4", "B001VFS5B4")</f>
      </c>
      <c r="B168" t="s">
        <v>180</v>
      </c>
      <c r="C168" t="s">
        <v>13</v>
      </c>
      <c r="D168" t="n" s="17">
        <v>0</v>
      </c>
      <c r="E168" t="n" s="17">
        <v>0</v>
      </c>
      <c r="F168" t="n" s="17">
        <v>0</v>
      </c>
      <c r="G168" t="n" s="17">
        <v>0</v>
      </c>
      <c r="H168" t="n" s="17">
        <v>0</v>
      </c>
      <c r="I168" t="n" s="18">
        <v>0</v>
      </c>
      <c r="J168" t="n" s="17">
        <v>0</v>
      </c>
      <c r="K168" t="n" s="19">
        <v>0</v>
      </c>
    </row>
    <row r="169" hidden="0" ht="15" customHeight="1" spans="1:1">
      <c r="A169" t="str" s="16">
        <f>HYPERLINK("https://amazon.com/dp/B0BQTYHKF2", "B0BQTYHKF2")</f>
      </c>
      <c r="B169" t="s">
        <v>181</v>
      </c>
      <c r="C169" t="s">
        <v>13</v>
      </c>
      <c r="D169" t="n" s="17">
        <v>0</v>
      </c>
      <c r="E169" t="n" s="17">
        <v>35</v>
      </c>
      <c r="F169" t="n" s="17">
        <v>0</v>
      </c>
      <c r="G169" t="n" s="17">
        <v>0</v>
      </c>
      <c r="H169" t="n" s="17">
        <v>0</v>
      </c>
      <c r="I169" t="n" s="18">
        <v>0.016399999999999998</v>
      </c>
      <c r="J169" t="n" s="17">
        <v>1</v>
      </c>
      <c r="K169" t="n" s="19">
        <v>12747.5</v>
      </c>
    </row>
    <row r="170" hidden="0" ht="15" customHeight="1" spans="1:1">
      <c r="A170" t="str" s="16">
        <f>HYPERLINK("https://amazon.com/dp/B00VVHONRM", "B00VVHONRM")</f>
      </c>
      <c r="B170" t="s">
        <v>182</v>
      </c>
      <c r="C170" t="s">
        <v>29</v>
      </c>
      <c r="D170" t="n" s="17">
        <v>0</v>
      </c>
      <c r="E170" t="n" s="17">
        <v>0</v>
      </c>
      <c r="F170" t="n" s="17">
        <v>0</v>
      </c>
      <c r="G170" t="n" s="17">
        <v>0</v>
      </c>
      <c r="H170" t="n" s="17">
        <v>0</v>
      </c>
      <c r="I170" t="n" s="18">
        <v>0</v>
      </c>
      <c r="J170" t="n" s="17">
        <v>0</v>
      </c>
      <c r="K170" t="n" s="19">
        <v>0</v>
      </c>
    </row>
    <row r="171" hidden="0" ht="15" customHeight="1" spans="1:1">
      <c r="A171" t="str" s="16">
        <f>HYPERLINK("https://amazon.com/dp/B0GVTH4693", "B0GVTH4693")</f>
      </c>
      <c r="B171" t="s">
        <v>183</v>
      </c>
      <c r="C171" t="s">
        <v>16</v>
      </c>
      <c r="D171" t="n" s="17">
        <v>0</v>
      </c>
      <c r="E171" t="n" s="17">
        <v>15</v>
      </c>
      <c r="F171" t="n" s="17">
        <v>0</v>
      </c>
      <c r="G171" t="n" s="17">
        <v>0</v>
      </c>
      <c r="H171" t="n" s="17">
        <v>0</v>
      </c>
      <c r="I171" t="n" s="18">
        <v>0.0169</v>
      </c>
      <c r="J171" t="n" s="17">
        <v>2</v>
      </c>
      <c r="K171" t="n" s="19">
        <v>5056.04</v>
      </c>
    </row>
    <row r="172" hidden="0" ht="15" customHeight="1" spans="1:1">
      <c r="A172" t="str" s="16">
        <f>HYPERLINK("https://amazon.com/dp/B0F6D3PKNQ", "B0F6D3PKNQ")</f>
      </c>
      <c r="B172" t="s">
        <v>184</v>
      </c>
      <c r="C172" t="s">
        <v>16</v>
      </c>
      <c r="D172" t="n" s="17">
        <v>0</v>
      </c>
      <c r="E172" t="n" s="17">
        <v>0</v>
      </c>
      <c r="F172" t="n" s="17">
        <v>0</v>
      </c>
      <c r="G172" t="n" s="17">
        <v>0</v>
      </c>
      <c r="H172" t="n" s="17">
        <v>0</v>
      </c>
      <c r="I172" t="n" s="18">
        <v>0</v>
      </c>
      <c r="J172" t="n" s="17">
        <v>0</v>
      </c>
      <c r="K172" t="n" s="19">
        <v>0</v>
      </c>
    </row>
    <row r="173" hidden="0" ht="15" customHeight="1" spans="1:1">
      <c r="A173" t="str" s="16">
        <f>HYPERLINK("https://amazon.com/dp/B00BP0SSAS", "B00BP0SSAS")</f>
      </c>
      <c r="B173" t="s">
        <v>185</v>
      </c>
      <c r="C173" t="s">
        <v>13</v>
      </c>
      <c r="D173" t="n" s="17">
        <v>0</v>
      </c>
      <c r="E173" t="n" s="17">
        <v>0</v>
      </c>
      <c r="F173" t="n" s="17">
        <v>0</v>
      </c>
      <c r="G173" t="n" s="17">
        <v>0</v>
      </c>
      <c r="H173" t="n" s="17">
        <v>0</v>
      </c>
      <c r="I173" t="n" s="18">
        <v>0</v>
      </c>
      <c r="J173" t="n" s="17">
        <v>0</v>
      </c>
      <c r="K173" t="n" s="19">
        <v>0</v>
      </c>
    </row>
    <row r="174" hidden="0" ht="15" customHeight="1" spans="1:1">
      <c r="A174" t="str" s="16">
        <f>HYPERLINK("https://amazon.com/dp/B0CQYKYBJ5", "B0CQYKYBJ5")</f>
      </c>
      <c r="B174" t="s">
        <v>186</v>
      </c>
      <c r="C174" t="s">
        <v>13</v>
      </c>
      <c r="D174" t="n" s="17">
        <v>0</v>
      </c>
      <c r="E174" t="n" s="17">
        <v>272</v>
      </c>
      <c r="F174" t="n" s="17">
        <v>0</v>
      </c>
      <c r="G174" t="n" s="17">
        <v>0</v>
      </c>
      <c r="H174" t="n" s="17">
        <v>0</v>
      </c>
      <c r="I174" t="n" s="18">
        <v>0.0438</v>
      </c>
      <c r="J174" t="n" s="17">
        <v>12</v>
      </c>
      <c r="K174" t="n" s="19">
        <v>18323.67</v>
      </c>
    </row>
    <row r="175" hidden="0" ht="15" customHeight="1" spans="1:1">
      <c r="A175" t="str" s="16">
        <f>HYPERLINK("https://amazon.com/dp/B0BCWNBNTK", "B0BCWNBNTK")</f>
      </c>
      <c r="B175" t="s">
        <v>187</v>
      </c>
      <c r="C175" t="s">
        <v>16</v>
      </c>
      <c r="D175" t="n" s="17">
        <v>0</v>
      </c>
      <c r="E175" t="n" s="17">
        <v>0</v>
      </c>
      <c r="F175" t="n" s="17">
        <v>0</v>
      </c>
      <c r="G175" t="n" s="17">
        <v>0</v>
      </c>
      <c r="H175" t="n" s="17">
        <v>0</v>
      </c>
      <c r="I175" t="n" s="18">
        <v>0</v>
      </c>
      <c r="J175" t="n" s="17">
        <v>0</v>
      </c>
      <c r="K175" t="n" s="19">
        <v>0</v>
      </c>
    </row>
    <row r="176" hidden="0" ht="15" customHeight="1" spans="1:1">
      <c r="A176" t="str" s="16">
        <f>HYPERLINK("https://amazon.com/dp/B0G1S78YKY", "B0G1S78YKY")</f>
      </c>
      <c r="B176" t="s">
        <v>188</v>
      </c>
      <c r="C176" t="s">
        <v>13</v>
      </c>
      <c r="D176" t="n" s="17">
        <v>0</v>
      </c>
      <c r="E176" t="n" s="17">
        <v>0</v>
      </c>
      <c r="F176" t="n" s="17">
        <v>0</v>
      </c>
      <c r="G176" t="n" s="17">
        <v>0</v>
      </c>
      <c r="H176" t="n" s="17">
        <v>0</v>
      </c>
      <c r="I176" t="n" s="18">
        <v>0</v>
      </c>
      <c r="J176" t="n" s="17">
        <v>0</v>
      </c>
      <c r="K176" t="n" s="19">
        <v>0</v>
      </c>
    </row>
    <row r="177" hidden="0" ht="15" customHeight="1" spans="1:1">
      <c r="A177" t="str" s="16">
        <f>HYPERLINK("https://amazon.com/dp/B08WPWWM8W", "B08WPWWM8W")</f>
      </c>
      <c r="B177" t="s">
        <v>189</v>
      </c>
      <c r="C177" t="s">
        <v>13</v>
      </c>
      <c r="D177" t="n" s="17">
        <v>0</v>
      </c>
      <c r="E177" t="n" s="17">
        <v>27</v>
      </c>
      <c r="F177" t="n" s="17">
        <v>0</v>
      </c>
      <c r="G177" t="n" s="17">
        <v>0</v>
      </c>
      <c r="H177" t="n" s="17">
        <v>0</v>
      </c>
      <c r="I177" t="n" s="18">
        <v>0</v>
      </c>
      <c r="J177" t="n" s="17">
        <v>0</v>
      </c>
      <c r="K177" t="n" s="19">
        <v>0</v>
      </c>
    </row>
    <row r="178" hidden="0" ht="15" customHeight="1" spans="1:1">
      <c r="A178" t="str" s="16">
        <f>HYPERLINK("https://amazon.com/dp/B0CVR977G2", "B0CVR977G2")</f>
      </c>
      <c r="B178" t="s">
        <v>190</v>
      </c>
      <c r="C178" t="s">
        <v>16</v>
      </c>
      <c r="D178" t="n" s="17">
        <v>0</v>
      </c>
      <c r="E178" t="n" s="17">
        <v>0</v>
      </c>
      <c r="F178" t="n" s="17">
        <v>0</v>
      </c>
      <c r="G178" t="n" s="17">
        <v>0</v>
      </c>
      <c r="H178" t="n" s="17">
        <v>0</v>
      </c>
      <c r="I178" t="n" s="18">
        <v>0</v>
      </c>
      <c r="J178" t="n" s="17">
        <v>0</v>
      </c>
      <c r="K178" t="n" s="19">
        <v>0</v>
      </c>
    </row>
    <row r="179" hidden="0" ht="15" customHeight="1" spans="1:1">
      <c r="A179" t="str" s="16">
        <f>HYPERLINK("https://amazon.com/dp/B009NH29QY", "B009NH29QY")</f>
      </c>
      <c r="B179" t="s">
        <v>191</v>
      </c>
      <c r="C179" t="s">
        <v>13</v>
      </c>
      <c r="D179" t="n" s="17">
        <v>0</v>
      </c>
      <c r="E179" t="n" s="17">
        <v>0</v>
      </c>
      <c r="F179" t="n" s="17">
        <v>0</v>
      </c>
      <c r="G179" t="n" s="17">
        <v>0</v>
      </c>
      <c r="H179" t="n" s="17">
        <v>0</v>
      </c>
      <c r="I179" t="n" s="18">
        <v>0</v>
      </c>
      <c r="J179" t="n" s="17">
        <v>0</v>
      </c>
      <c r="K179" t="n" s="19">
        <v>0</v>
      </c>
    </row>
    <row r="180" hidden="0" ht="15" customHeight="1" spans="1:1">
      <c r="A180" t="str" s="16">
        <f>HYPERLINK("https://amazon.com/dp/B00N1Q7W8I", "B00N1Q7W8I")</f>
      </c>
      <c r="B180" t="s">
        <v>192</v>
      </c>
      <c r="C180" t="s">
        <v>13</v>
      </c>
      <c r="D180" t="n" s="17">
        <v>0</v>
      </c>
      <c r="E180" t="n" s="17">
        <v>13</v>
      </c>
      <c r="F180" t="n" s="17">
        <v>0</v>
      </c>
      <c r="G180" t="n" s="17">
        <v>0</v>
      </c>
      <c r="H180" t="n" s="17">
        <v>0</v>
      </c>
      <c r="I180" t="n" s="18">
        <v>0</v>
      </c>
      <c r="J180" t="n" s="17">
        <v>0</v>
      </c>
      <c r="K180" t="n" s="19">
        <v>0</v>
      </c>
    </row>
    <row r="181" hidden="0" ht="15" customHeight="1" spans="1:1">
      <c r="A181" t="str" s="16">
        <f>HYPERLINK("https://amazon.com/dp/B0859M1KX7", "B0859M1KX7")</f>
      </c>
      <c r="B181" t="s">
        <v>193</v>
      </c>
      <c r="C181" t="s">
        <v>13</v>
      </c>
      <c r="D181" t="n" s="17">
        <v>0</v>
      </c>
      <c r="E181" t="n" s="17">
        <v>0</v>
      </c>
      <c r="F181" t="n" s="17">
        <v>0</v>
      </c>
      <c r="G181" t="n" s="17">
        <v>0</v>
      </c>
      <c r="H181" t="n" s="17">
        <v>0</v>
      </c>
      <c r="I181" t="n" s="18">
        <v>0</v>
      </c>
      <c r="J181" t="n" s="17">
        <v>0</v>
      </c>
      <c r="K181" t="n" s="19">
        <v>0</v>
      </c>
    </row>
    <row r="182" hidden="0" ht="15" customHeight="1" spans="1:1">
      <c r="A182" t="str" s="16">
        <f>HYPERLINK("https://amazon.com/dp/B00PIBBWSK", "B00PIBBWSK")</f>
      </c>
      <c r="B182" t="s">
        <v>194</v>
      </c>
      <c r="C182" t="s">
        <v>13</v>
      </c>
      <c r="D182" t="n" s="17">
        <v>0</v>
      </c>
      <c r="E182" t="n" s="17">
        <v>356</v>
      </c>
      <c r="F182" t="n" s="17">
        <v>0</v>
      </c>
      <c r="G182" t="n" s="17">
        <v>0</v>
      </c>
      <c r="H182" t="n" s="17">
        <v>0</v>
      </c>
      <c r="I182" t="n" s="18">
        <v>0.0253</v>
      </c>
      <c r="J182" t="n" s="17">
        <v>10</v>
      </c>
      <c r="K182" t="n" s="19">
        <v>27015.55</v>
      </c>
    </row>
    <row r="183" hidden="0" ht="15" customHeight="1" spans="1:1">
      <c r="A183" t="str" s="16">
        <f>HYPERLINK("https://amazon.com/dp/B0BBV29JXX", "B0BBV29JXX")</f>
      </c>
      <c r="B183" t="s">
        <v>195</v>
      </c>
      <c r="C183" t="s">
        <v>13</v>
      </c>
      <c r="D183" t="n" s="17">
        <v>0</v>
      </c>
      <c r="E183" t="n" s="17">
        <v>0</v>
      </c>
      <c r="F183" t="n" s="17">
        <v>0</v>
      </c>
      <c r="G183" t="n" s="17">
        <v>0</v>
      </c>
      <c r="H183" t="n" s="17">
        <v>0</v>
      </c>
      <c r="I183" t="n" s="18">
        <v>0</v>
      </c>
      <c r="J183" t="n" s="17">
        <v>0</v>
      </c>
      <c r="K183" t="n" s="19">
        <v>0</v>
      </c>
    </row>
    <row r="184" hidden="0" ht="15" customHeight="1" spans="1:1">
      <c r="A184" t="str" s="16">
        <f>HYPERLINK("https://amazon.com/dp/B0FGXT75VK", "B0FGXT75VK")</f>
      </c>
      <c r="B184" t="s">
        <v>196</v>
      </c>
      <c r="C184" t="s">
        <v>13</v>
      </c>
      <c r="D184" t="n" s="17">
        <v>0</v>
      </c>
      <c r="E184" t="n" s="17">
        <v>87</v>
      </c>
      <c r="F184" t="n" s="17">
        <v>0</v>
      </c>
      <c r="G184" t="n" s="17">
        <v>0</v>
      </c>
      <c r="H184" t="n" s="17">
        <v>0</v>
      </c>
      <c r="I184" t="n" s="18">
        <v>0.061200000000000004</v>
      </c>
      <c r="J184" t="n" s="17">
        <v>6</v>
      </c>
      <c r="K184" t="n" s="19">
        <v>6766.44</v>
      </c>
    </row>
    <row r="185" hidden="0" ht="15" customHeight="1" spans="1:1">
      <c r="A185" t="str" s="16">
        <f>HYPERLINK("https://amazon.com/dp/B07Z5JD3T4", "B07Z5JD3T4")</f>
      </c>
      <c r="B185" t="s">
        <v>197</v>
      </c>
      <c r="C185" t="s">
        <v>16</v>
      </c>
      <c r="D185" t="n" s="17">
        <v>0</v>
      </c>
      <c r="E185" t="n" s="17">
        <v>0</v>
      </c>
      <c r="F185" t="n" s="17">
        <v>0</v>
      </c>
      <c r="G185" t="n" s="17">
        <v>0</v>
      </c>
      <c r="H185" t="n" s="17">
        <v>0</v>
      </c>
      <c r="I185" t="n" s="18">
        <v>0</v>
      </c>
      <c r="J185" t="n" s="17">
        <v>0</v>
      </c>
      <c r="K185" t="n" s="19">
        <v>0</v>
      </c>
    </row>
    <row r="186" hidden="0" ht="15" customHeight="1" spans="1:1">
      <c r="A186" t="str" s="16">
        <f>HYPERLINK("https://amazon.com/dp/B0DJH27B1Q", "B0DJH27B1Q")</f>
      </c>
      <c r="B186" t="s">
        <v>198</v>
      </c>
      <c r="C186" t="s">
        <v>13</v>
      </c>
      <c r="D186" t="n" s="17">
        <v>0</v>
      </c>
      <c r="E186" t="n" s="17">
        <v>109</v>
      </c>
      <c r="F186" t="n" s="17">
        <v>0</v>
      </c>
      <c r="G186" t="n" s="17">
        <v>0</v>
      </c>
      <c r="H186" t="n" s="17">
        <v>0</v>
      </c>
      <c r="I186" t="n" s="18">
        <v>0.0182</v>
      </c>
      <c r="J186" t="n" s="17">
        <v>2</v>
      </c>
      <c r="K186" t="n" s="19">
        <v>3291.44</v>
      </c>
    </row>
    <row r="187" hidden="0" ht="15" customHeight="1" spans="1:1">
      <c r="A187" t="str" s="16">
        <f>HYPERLINK("https://amazon.com/dp/B06ZZV414V", "B06ZZV414V")</f>
      </c>
      <c r="B187" t="s">
        <v>199</v>
      </c>
      <c r="C187" t="s">
        <v>13</v>
      </c>
      <c r="D187" t="n" s="17">
        <v>0</v>
      </c>
      <c r="E187" t="n" s="17">
        <v>29</v>
      </c>
      <c r="F187" t="n" s="17">
        <v>0</v>
      </c>
      <c r="G187" t="n" s="17">
        <v>0</v>
      </c>
      <c r="H187" t="n" s="17">
        <v>0</v>
      </c>
      <c r="I187" t="n" s="18">
        <v>0.0462</v>
      </c>
      <c r="J187" t="n" s="17">
        <v>3</v>
      </c>
      <c r="K187" t="n" s="19">
        <v>4989.99</v>
      </c>
    </row>
    <row r="188" hidden="0" ht="15" customHeight="1" spans="1:1">
      <c r="A188" t="str" s="16">
        <f>HYPERLINK("https://amazon.com/dp/B01MY3YI6Y", "B01MY3YI6Y")</f>
      </c>
      <c r="B188" t="s">
        <v>200</v>
      </c>
      <c r="C188" t="s">
        <v>13</v>
      </c>
      <c r="D188" t="n" s="17">
        <v>0</v>
      </c>
      <c r="E188" t="n" s="17">
        <v>0</v>
      </c>
      <c r="F188" t="n" s="17">
        <v>0</v>
      </c>
      <c r="G188" t="n" s="17">
        <v>0</v>
      </c>
      <c r="H188" t="n" s="17">
        <v>0</v>
      </c>
      <c r="I188" t="n" s="18">
        <v>0</v>
      </c>
      <c r="J188" t="n" s="17">
        <v>0</v>
      </c>
      <c r="K188" t="n" s="19">
        <v>0</v>
      </c>
    </row>
    <row r="189" hidden="0" ht="15" customHeight="1" spans="1:1">
      <c r="A189" t="str" s="16">
        <f>HYPERLINK("https://amazon.com/dp/B08SJTPJH7", "B08SJTPJH7")</f>
      </c>
      <c r="B189" t="s">
        <v>201</v>
      </c>
      <c r="C189" t="s">
        <v>13</v>
      </c>
      <c r="D189" t="n" s="17">
        <v>0</v>
      </c>
      <c r="E189" t="n" s="17">
        <v>0</v>
      </c>
      <c r="F189" t="n" s="17">
        <v>0</v>
      </c>
      <c r="G189" t="n" s="17">
        <v>0</v>
      </c>
      <c r="H189" t="n" s="17">
        <v>0</v>
      </c>
      <c r="I189" t="n" s="18">
        <v>0</v>
      </c>
      <c r="J189" t="n" s="17">
        <v>0</v>
      </c>
      <c r="K189" t="n" s="19">
        <v>0</v>
      </c>
    </row>
    <row r="190" hidden="0" ht="15" customHeight="1" spans="1:1">
      <c r="A190" t="str" s="16">
        <f>HYPERLINK("https://amazon.com/dp/B00HHREN1Q", "B00HHREN1Q")</f>
      </c>
      <c r="B190" t="s">
        <v>202</v>
      </c>
      <c r="C190" t="s">
        <v>13</v>
      </c>
      <c r="D190" t="n" s="17">
        <v>0</v>
      </c>
      <c r="E190" t="n" s="17">
        <v>7</v>
      </c>
      <c r="F190" t="n" s="17">
        <v>0</v>
      </c>
      <c r="G190" t="n" s="17">
        <v>0</v>
      </c>
      <c r="H190" t="n" s="17">
        <v>0</v>
      </c>
      <c r="I190" t="n" s="18">
        <v>0</v>
      </c>
      <c r="J190" t="n" s="17">
        <v>0</v>
      </c>
      <c r="K190" t="n" s="19">
        <v>0</v>
      </c>
    </row>
    <row r="191" hidden="0" ht="15" customHeight="1" spans="1:1">
      <c r="A191" t="str" s="16">
        <f>HYPERLINK("https://amazon.com/dp/B00416Q5KI", "B00416Q5KI")</f>
      </c>
      <c r="B191" t="s">
        <v>203</v>
      </c>
      <c r="C191" t="s">
        <v>13</v>
      </c>
      <c r="D191" t="n" s="17">
        <v>0</v>
      </c>
      <c r="E191" t="n" s="17">
        <v>0</v>
      </c>
      <c r="F191" t="n" s="17">
        <v>0</v>
      </c>
      <c r="G191" t="n" s="17">
        <v>0</v>
      </c>
      <c r="H191" t="n" s="17">
        <v>0</v>
      </c>
      <c r="I191" t="n" s="18">
        <v>0</v>
      </c>
      <c r="J191" t="n" s="17">
        <v>0</v>
      </c>
      <c r="K191" t="n" s="19">
        <v>0</v>
      </c>
    </row>
    <row r="192" hidden="0" ht="15" customHeight="1" spans="1:1">
      <c r="A192" t="str" s="16">
        <f>HYPERLINK("https://amazon.com/dp/B0FYHQZ56F", "B0FYHQZ56F")</f>
      </c>
      <c r="B192" t="s">
        <v>204</v>
      </c>
      <c r="C192" t="s">
        <v>16</v>
      </c>
      <c r="D192" t="n" s="17">
        <v>0</v>
      </c>
      <c r="E192" t="n" s="17">
        <v>0</v>
      </c>
      <c r="F192" t="n" s="17">
        <v>0</v>
      </c>
      <c r="G192" t="n" s="17">
        <v>0</v>
      </c>
      <c r="H192" t="n" s="17">
        <v>0</v>
      </c>
      <c r="I192" t="n" s="18">
        <v>0</v>
      </c>
      <c r="J192" t="n" s="17">
        <v>0</v>
      </c>
      <c r="K192" t="n" s="19">
        <v>0</v>
      </c>
    </row>
    <row r="193" hidden="0" ht="15" customHeight="1" spans="1:1">
      <c r="A193" t="str" s="16">
        <f>HYPERLINK("https://amazon.com/dp/B0FMQTTM71", "B0FMQTTM71")</f>
      </c>
      <c r="B193" t="s">
        <v>205</v>
      </c>
      <c r="C193" t="s">
        <v>13</v>
      </c>
      <c r="D193" t="n" s="17">
        <v>0</v>
      </c>
      <c r="E193" t="n" s="17">
        <v>0</v>
      </c>
      <c r="F193" t="n" s="17">
        <v>0</v>
      </c>
      <c r="G193" t="n" s="17">
        <v>0</v>
      </c>
      <c r="H193" t="n" s="17">
        <v>0</v>
      </c>
      <c r="I193" t="n" s="18">
        <v>0</v>
      </c>
      <c r="J193" t="n" s="17">
        <v>0</v>
      </c>
      <c r="K193" t="n" s="19">
        <v>0</v>
      </c>
    </row>
    <row r="194" hidden="0" ht="15" customHeight="1" spans="1:1">
      <c r="A194" t="str" s="16">
        <f>HYPERLINK("https://amazon.com/dp/B0GVZ8CJSL", "B0GVZ8CJSL")</f>
      </c>
      <c r="B194" t="s">
        <v>206</v>
      </c>
      <c r="C194" t="s">
        <v>13</v>
      </c>
      <c r="D194" t="n" s="17">
        <v>0</v>
      </c>
      <c r="E194" t="n" s="17">
        <v>0</v>
      </c>
      <c r="F194" t="n" s="17">
        <v>0</v>
      </c>
      <c r="G194" t="n" s="17">
        <v>0</v>
      </c>
      <c r="H194" t="n" s="17">
        <v>0</v>
      </c>
      <c r="I194" t="n" s="18">
        <v>0</v>
      </c>
      <c r="J194" t="n" s="17">
        <v>0</v>
      </c>
      <c r="K194" t="n" s="19">
        <v>0</v>
      </c>
    </row>
    <row r="195" hidden="0" ht="15" customHeight="1" spans="1:1">
      <c r="A195" t="str" s="16">
        <f>HYPERLINK("https://amazon.com/dp/B0F5B8SFRF", "B0F5B8SFRF")</f>
      </c>
      <c r="B195" t="s">
        <v>207</v>
      </c>
      <c r="C195" t="s">
        <v>29</v>
      </c>
      <c r="D195" t="n" s="17">
        <v>0</v>
      </c>
      <c r="E195" t="n" s="17">
        <v>568</v>
      </c>
      <c r="F195" t="n" s="17">
        <v>0</v>
      </c>
      <c r="G195" t="n" s="17">
        <v>0</v>
      </c>
      <c r="H195" t="n" s="17">
        <v>0</v>
      </c>
      <c r="I195" t="n" s="18">
        <v>0.0736</v>
      </c>
      <c r="J195" t="n" s="17">
        <v>48</v>
      </c>
      <c r="K195" t="n" s="19">
        <v>18981.6</v>
      </c>
    </row>
    <row r="196" hidden="0" ht="15" customHeight="1" spans="1:1">
      <c r="A196" t="str" s="16">
        <f>HYPERLINK("https://amazon.com/dp/B0B1M6Z25X", "B0B1M6Z25X")</f>
      </c>
      <c r="B196" t="s">
        <v>208</v>
      </c>
      <c r="C196" t="s">
        <v>13</v>
      </c>
      <c r="D196" t="n" s="17">
        <v>0</v>
      </c>
      <c r="E196" t="n" s="17">
        <v>275</v>
      </c>
      <c r="F196" t="n" s="17">
        <v>0</v>
      </c>
      <c r="G196" t="n" s="17">
        <v>0</v>
      </c>
      <c r="H196" t="n" s="17">
        <v>0</v>
      </c>
      <c r="I196" t="n" s="18">
        <v>0.0552</v>
      </c>
      <c r="J196" t="n" s="17">
        <v>18</v>
      </c>
      <c r="K196" t="n" s="19">
        <v>26191.2</v>
      </c>
    </row>
    <row r="197" hidden="0" ht="15" customHeight="1" spans="1:1">
      <c r="A197" t="str" s="16">
        <f>HYPERLINK("https://amazon.com/dp/B0F1CF97SC", "B0F1CF97SC")</f>
      </c>
      <c r="B197" t="s">
        <v>209</v>
      </c>
      <c r="C197" t="s">
        <v>13</v>
      </c>
      <c r="D197" t="n" s="17">
        <v>0</v>
      </c>
      <c r="E197" t="n" s="17">
        <v>20</v>
      </c>
      <c r="F197" t="n" s="17">
        <v>0</v>
      </c>
      <c r="G197" t="n" s="17">
        <v>0</v>
      </c>
      <c r="H197" t="n" s="17">
        <v>0</v>
      </c>
      <c r="I197" t="n" s="18">
        <v>0.6</v>
      </c>
      <c r="J197" t="n" s="17">
        <v>12</v>
      </c>
      <c r="K197" t="n" s="19">
        <v>12952.52</v>
      </c>
    </row>
    <row r="198" hidden="0" ht="15" customHeight="1" spans="1:1">
      <c r="A198" t="str" s="16">
        <f>HYPERLINK("https://amazon.com/dp/B0DHY8HXYG", "B0DHY8HXYG")</f>
      </c>
      <c r="B198" t="s">
        <v>210</v>
      </c>
      <c r="C198" t="s">
        <v>13</v>
      </c>
      <c r="D198" t="n" s="17">
        <v>0</v>
      </c>
      <c r="E198" t="n" s="17">
        <v>145</v>
      </c>
      <c r="F198" t="n" s="17">
        <v>0</v>
      </c>
      <c r="G198" t="n" s="17">
        <v>0</v>
      </c>
      <c r="H198" t="n" s="17">
        <v>0</v>
      </c>
      <c r="I198" t="n" s="18">
        <v>0.0461</v>
      </c>
      <c r="J198" t="n" s="17">
        <v>7</v>
      </c>
      <c r="K198" t="n" s="19">
        <v>23099.83</v>
      </c>
    </row>
    <row r="199" hidden="0" ht="15" customHeight="1" spans="1:1">
      <c r="A199" t="str" s="16">
        <f>HYPERLINK("https://amazon.com/dp/B000RSTX9O", "B000RSTX9O")</f>
      </c>
      <c r="B199" t="s">
        <v>211</v>
      </c>
      <c r="C199" t="s">
        <v>13</v>
      </c>
      <c r="D199" t="n" s="17">
        <v>0</v>
      </c>
      <c r="E199" t="n" s="17">
        <v>0</v>
      </c>
      <c r="F199" t="n" s="17">
        <v>0</v>
      </c>
      <c r="G199" t="n" s="17">
        <v>0</v>
      </c>
      <c r="H199" t="n" s="17">
        <v>0</v>
      </c>
      <c r="I199" t="n" s="18">
        <v>0</v>
      </c>
      <c r="J199" t="n" s="17">
        <v>0</v>
      </c>
      <c r="K199" t="n" s="19">
        <v>0</v>
      </c>
    </row>
    <row r="200" hidden="0" ht="15" customHeight="1" spans="1:1">
      <c r="A200" t="str" s="16">
        <f>HYPERLINK("https://amazon.com/dp/B00C2ICYPC", "B00C2ICYPC")</f>
      </c>
      <c r="B200" t="s">
        <v>212</v>
      </c>
      <c r="C200" t="s">
        <v>13</v>
      </c>
      <c r="D200" t="n" s="17">
        <v>0</v>
      </c>
      <c r="E200" t="n" s="17">
        <v>254</v>
      </c>
      <c r="F200" t="n" s="17">
        <v>0</v>
      </c>
      <c r="G200" t="n" s="17">
        <v>0</v>
      </c>
      <c r="H200" t="n" s="17">
        <v>0</v>
      </c>
      <c r="I200" t="n" s="18">
        <v>0.0273</v>
      </c>
      <c r="J200" t="n" s="17">
        <v>7</v>
      </c>
      <c r="K200" t="n" s="19">
        <v>15108.31</v>
      </c>
    </row>
    <row r="201" hidden="0" ht="15" customHeight="1" spans="1:1">
      <c r="A201" t="str" s="16">
        <f>HYPERLINK("https://amazon.com/dp/B08W4RMZ8T", "B08W4RMZ8T")</f>
      </c>
      <c r="B201" t="s">
        <v>213</v>
      </c>
      <c r="C201" t="s">
        <v>13</v>
      </c>
      <c r="D201" t="n" s="17">
        <v>0</v>
      </c>
      <c r="E201" t="n" s="17">
        <v>7</v>
      </c>
      <c r="F201" t="n" s="17">
        <v>0</v>
      </c>
      <c r="G201" t="n" s="17">
        <v>0</v>
      </c>
      <c r="H201" t="n" s="17">
        <v>0</v>
      </c>
      <c r="I201" t="n" s="18">
        <v>0</v>
      </c>
      <c r="J201" t="n" s="17">
        <v>0</v>
      </c>
      <c r="K201" t="n" s="19">
        <v>0</v>
      </c>
    </row>
    <row r="202" hidden="0" ht="15" customHeight="1" spans="1:1">
      <c r="A202" t="str" s="16">
        <f>HYPERLINK("https://amazon.com/dp/B0CQLKDTQD", "B0CQLKDTQD")</f>
      </c>
      <c r="B202" t="s">
        <v>214</v>
      </c>
      <c r="C202" t="s">
        <v>29</v>
      </c>
      <c r="D202" t="n" s="17">
        <v>0</v>
      </c>
      <c r="E202" t="n" s="17">
        <v>0</v>
      </c>
      <c r="F202" t="n" s="17">
        <v>0</v>
      </c>
      <c r="G202" t="n" s="17">
        <v>0</v>
      </c>
      <c r="H202" t="n" s="17">
        <v>0</v>
      </c>
      <c r="I202" t="n" s="18">
        <v>0</v>
      </c>
      <c r="J202" t="n" s="17">
        <v>0</v>
      </c>
      <c r="K202" t="n" s="19">
        <v>0</v>
      </c>
    </row>
    <row r="203" hidden="0" ht="15" customHeight="1" spans="1:1">
      <c r="A203" t="str" s="16">
        <f>HYPERLINK("https://amazon.com/dp/B0CRQXSGCH", "B0CRQXSGCH")</f>
      </c>
      <c r="B203" t="s">
        <v>215</v>
      </c>
      <c r="C203" t="s">
        <v>29</v>
      </c>
      <c r="D203" t="n" s="17">
        <v>0</v>
      </c>
      <c r="E203" t="n" s="17">
        <v>64</v>
      </c>
      <c r="F203" t="n" s="17">
        <v>0</v>
      </c>
      <c r="G203" t="n" s="17">
        <v>0</v>
      </c>
      <c r="H203" t="n" s="17">
        <v>0</v>
      </c>
      <c r="I203" t="n" s="18">
        <v>0</v>
      </c>
      <c r="J203" t="n" s="17">
        <v>0</v>
      </c>
      <c r="K203" t="n" s="19">
        <v>0</v>
      </c>
    </row>
    <row r="204" hidden="0" ht="15" customHeight="1" spans="1:1">
      <c r="A204" t="str" s="16">
        <f>HYPERLINK("https://amazon.com/dp/B0BWRXZZC8", "B0BWRXZZC8")</f>
      </c>
      <c r="B204" t="s">
        <v>216</v>
      </c>
      <c r="C204" t="s">
        <v>13</v>
      </c>
      <c r="D204" t="n" s="17">
        <v>0</v>
      </c>
      <c r="E204" t="n" s="17">
        <v>316</v>
      </c>
      <c r="F204" t="n" s="17">
        <v>0</v>
      </c>
      <c r="G204" t="n" s="17">
        <v>0</v>
      </c>
      <c r="H204" t="n" s="17">
        <v>0</v>
      </c>
      <c r="I204" t="n" s="18">
        <v>0.0506</v>
      </c>
      <c r="J204" t="n" s="17">
        <v>16</v>
      </c>
      <c r="K204" t="n" s="19">
        <v>18400.42</v>
      </c>
    </row>
    <row r="205" hidden="0" ht="15" customHeight="1" spans="1:1">
      <c r="A205" t="str" s="16">
        <f>HYPERLINK("https://amazon.com/dp/B08QVV4RL7", "B08QVV4RL7")</f>
      </c>
      <c r="B205" t="s">
        <v>217</v>
      </c>
      <c r="C205" t="s">
        <v>13</v>
      </c>
      <c r="D205" t="n" s="17">
        <v>0</v>
      </c>
      <c r="E205" t="n" s="17">
        <v>0</v>
      </c>
      <c r="F205" t="n" s="17">
        <v>0</v>
      </c>
      <c r="G205" t="n" s="17">
        <v>0</v>
      </c>
      <c r="H205" t="n" s="17">
        <v>0</v>
      </c>
      <c r="I205" t="n" s="18">
        <v>0</v>
      </c>
      <c r="J205" t="n" s="17">
        <v>0</v>
      </c>
      <c r="K205" t="n" s="19">
        <v>0</v>
      </c>
    </row>
    <row r="206" hidden="0" ht="15" customHeight="1" spans="1:1">
      <c r="A206" t="str" s="16">
        <f>HYPERLINK("https://amazon.com/dp/B08R6JTPTL", "B08R6JTPTL")</f>
      </c>
      <c r="B206" t="s">
        <v>218</v>
      </c>
      <c r="C206" t="s">
        <v>13</v>
      </c>
      <c r="D206" t="n" s="17">
        <v>0</v>
      </c>
      <c r="E206" t="n" s="17">
        <v>0</v>
      </c>
      <c r="F206" t="n" s="17">
        <v>0</v>
      </c>
      <c r="G206" t="n" s="17">
        <v>0</v>
      </c>
      <c r="H206" t="n" s="17">
        <v>0</v>
      </c>
      <c r="I206" t="n" s="18">
        <v>0</v>
      </c>
      <c r="J206" t="n" s="17">
        <v>0</v>
      </c>
      <c r="K206" t="n" s="19">
        <v>0</v>
      </c>
    </row>
    <row r="207" hidden="0" ht="15" customHeight="1" spans="1:1">
      <c r="A207" t="str" s="16">
        <f>HYPERLINK("https://amazon.com/dp/B004393J9I", "B004393J9I")</f>
      </c>
      <c r="B207" t="s">
        <v>219</v>
      </c>
      <c r="C207" t="s">
        <v>13</v>
      </c>
      <c r="D207" t="n" s="17">
        <v>0</v>
      </c>
      <c r="E207" t="n" s="17">
        <v>18</v>
      </c>
      <c r="F207" t="n" s="17">
        <v>0</v>
      </c>
      <c r="G207" t="n" s="17">
        <v>0</v>
      </c>
      <c r="H207" t="n" s="17">
        <v>0</v>
      </c>
      <c r="I207" t="n" s="18">
        <v>0</v>
      </c>
      <c r="J207" t="n" s="17">
        <v>0</v>
      </c>
      <c r="K207" t="n" s="19">
        <v>0</v>
      </c>
    </row>
    <row r="208" hidden="0" ht="15" customHeight="1" spans="1:1">
      <c r="A208" t="str" s="16">
        <f>HYPERLINK("https://amazon.com/dp/B079YSQGT2", "B079YSQGT2")</f>
      </c>
      <c r="B208" t="s">
        <v>220</v>
      </c>
      <c r="C208" t="s">
        <v>13</v>
      </c>
      <c r="D208" t="n" s="17">
        <v>0</v>
      </c>
      <c r="E208" t="n" s="17">
        <v>0</v>
      </c>
      <c r="F208" t="n" s="17">
        <v>0</v>
      </c>
      <c r="G208" t="n" s="17">
        <v>0</v>
      </c>
      <c r="H208" t="n" s="17">
        <v>0</v>
      </c>
      <c r="I208" t="n" s="18">
        <v>0</v>
      </c>
      <c r="J208" t="n" s="17">
        <v>0</v>
      </c>
      <c r="K208" t="n" s="19">
        <v>0</v>
      </c>
    </row>
    <row r="209" hidden="0" ht="15" customHeight="1" spans="1:1">
      <c r="A209" t="str" s="16">
        <f>HYPERLINK("https://amazon.com/dp/B09X3JDZYQ", "B09X3JDZYQ")</f>
      </c>
      <c r="B209" t="s">
        <v>221</v>
      </c>
      <c r="C209" t="s">
        <v>13</v>
      </c>
      <c r="D209" t="n" s="17">
        <v>0</v>
      </c>
      <c r="E209" t="n" s="17">
        <v>0</v>
      </c>
      <c r="F209" t="n" s="17">
        <v>0</v>
      </c>
      <c r="G209" t="n" s="17">
        <v>0</v>
      </c>
      <c r="H209" t="n" s="17">
        <v>0</v>
      </c>
      <c r="I209" t="n" s="18">
        <v>0</v>
      </c>
      <c r="J209" t="n" s="17">
        <v>0</v>
      </c>
      <c r="K209" t="n" s="19">
        <v>0</v>
      </c>
    </row>
    <row r="210" hidden="0" ht="15" customHeight="1" spans="1:1">
      <c r="A210" t="str" s="16">
        <f>HYPERLINK("https://amazon.com/dp/B0C4SN9V5K", "B0C4SN9V5K")</f>
      </c>
      <c r="B210" t="s">
        <v>222</v>
      </c>
      <c r="C210" t="s">
        <v>13</v>
      </c>
      <c r="D210" t="n" s="17">
        <v>0</v>
      </c>
      <c r="E210" t="n" s="17">
        <v>656</v>
      </c>
      <c r="F210" t="n" s="17">
        <v>0</v>
      </c>
      <c r="G210" t="n" s="17">
        <v>0</v>
      </c>
      <c r="H210" t="n" s="17">
        <v>0</v>
      </c>
      <c r="I210" t="n" s="18">
        <v>0.027200000000000002</v>
      </c>
      <c r="J210" t="n" s="17">
        <v>21</v>
      </c>
      <c r="K210" t="n" s="19">
        <v>28945.14</v>
      </c>
    </row>
    <row r="211" hidden="0" ht="15" customHeight="1" spans="1:1">
      <c r="A211" t="str" s="16">
        <f>HYPERLINK("https://amazon.com/dp/B0GVFHFB8P", "B0GVFHFB8P")</f>
      </c>
      <c r="B211" t="s">
        <v>223</v>
      </c>
      <c r="C211" t="s">
        <v>16</v>
      </c>
      <c r="D211" t="n" s="17">
        <v>0</v>
      </c>
      <c r="E211" t="n" s="17">
        <v>6</v>
      </c>
      <c r="F211" t="n" s="17">
        <v>0</v>
      </c>
      <c r="G211" t="n" s="17">
        <v>0</v>
      </c>
      <c r="H211" t="n" s="17">
        <v>0</v>
      </c>
      <c r="I211" t="n" s="18">
        <v>0</v>
      </c>
      <c r="J211" t="n" s="17">
        <v>0</v>
      </c>
      <c r="K211" t="n" s="19">
        <v>0</v>
      </c>
    </row>
    <row r="212" hidden="0" ht="15" customHeight="1" spans="1:1">
      <c r="A212" t="str" s="16">
        <f>HYPERLINK("https://amazon.com/dp/B0FDB9HS1F", "B0FDB9HS1F")</f>
      </c>
      <c r="B212" t="s">
        <v>224</v>
      </c>
      <c r="C212" t="s">
        <v>16</v>
      </c>
      <c r="D212" t="n" s="17">
        <v>0</v>
      </c>
      <c r="E212" t="n" s="17">
        <v>0</v>
      </c>
      <c r="F212" t="n" s="17">
        <v>0</v>
      </c>
      <c r="G212" t="n" s="17">
        <v>0</v>
      </c>
      <c r="H212" t="n" s="17">
        <v>0</v>
      </c>
      <c r="I212" t="n" s="18">
        <v>0</v>
      </c>
      <c r="J212" t="n" s="17">
        <v>0</v>
      </c>
      <c r="K212" t="n" s="19">
        <v>0</v>
      </c>
    </row>
    <row r="213" hidden="0" ht="15" customHeight="1" spans="1:1">
      <c r="A213" t="str" s="16">
        <f>HYPERLINK("https://amazon.com/dp/B0DCZW6BV9", "B0DCZW6BV9")</f>
      </c>
      <c r="B213" t="s">
        <v>225</v>
      </c>
      <c r="C213" t="s">
        <v>16</v>
      </c>
      <c r="D213" t="n" s="17">
        <v>0</v>
      </c>
      <c r="E213" t="n" s="17">
        <v>0</v>
      </c>
      <c r="F213" t="n" s="17">
        <v>0</v>
      </c>
      <c r="G213" t="n" s="17">
        <v>0</v>
      </c>
      <c r="H213" t="n" s="17">
        <v>0</v>
      </c>
      <c r="I213" t="n" s="18">
        <v>0</v>
      </c>
      <c r="J213" t="n" s="17">
        <v>0</v>
      </c>
      <c r="K213" t="n" s="19">
        <v>0</v>
      </c>
    </row>
    <row r="214" hidden="0" ht="15" customHeight="1" spans="1:1">
      <c r="A214" t="str" s="16">
        <f>HYPERLINK("https://amazon.com/dp/B00BOOSX14", "B00BOOSX14")</f>
      </c>
      <c r="B214" t="s">
        <v>226</v>
      </c>
      <c r="C214" t="s">
        <v>13</v>
      </c>
      <c r="D214" t="n" s="17">
        <v>0</v>
      </c>
      <c r="E214" t="n" s="17">
        <v>0</v>
      </c>
      <c r="F214" t="n" s="17">
        <v>0</v>
      </c>
      <c r="G214" t="n" s="17">
        <v>0</v>
      </c>
      <c r="H214" t="n" s="17">
        <v>0</v>
      </c>
      <c r="I214" t="n" s="18">
        <v>0</v>
      </c>
      <c r="J214" t="n" s="17">
        <v>0</v>
      </c>
      <c r="K214" t="n" s="19">
        <v>0</v>
      </c>
    </row>
    <row r="215" hidden="0" ht="15" customHeight="1" spans="1:1">
      <c r="A215" t="str" s="16">
        <f>HYPERLINK("https://amazon.com/dp/B086LRTQYS", "B086LRTQYS")</f>
      </c>
      <c r="B215" t="s">
        <v>227</v>
      </c>
      <c r="C215" t="s">
        <v>13</v>
      </c>
      <c r="D215" t="n" s="17">
        <v>0</v>
      </c>
      <c r="E215" t="n" s="17">
        <v>6</v>
      </c>
      <c r="F215" t="n" s="17">
        <v>0</v>
      </c>
      <c r="G215" t="n" s="17">
        <v>0</v>
      </c>
      <c r="H215" t="n" s="17">
        <v>0</v>
      </c>
      <c r="I215" t="n" s="18">
        <v>0</v>
      </c>
      <c r="J215" t="n" s="17">
        <v>0</v>
      </c>
      <c r="K215" t="n" s="19">
        <v>0</v>
      </c>
    </row>
    <row r="216" hidden="0" ht="15" customHeight="1" spans="1:1">
      <c r="A216" t="str" s="16">
        <f>HYPERLINK("https://amazon.com/dp/B0DQYJGTKX", "B0DQYJGTKX")</f>
      </c>
      <c r="B216" t="s">
        <v>228</v>
      </c>
      <c r="C216" t="s">
        <v>16</v>
      </c>
      <c r="D216" t="n" s="17">
        <v>0</v>
      </c>
      <c r="E216" t="n" s="17">
        <v>0</v>
      </c>
      <c r="F216" t="n" s="17">
        <v>0</v>
      </c>
      <c r="G216" t="n" s="17">
        <v>0</v>
      </c>
      <c r="H216" t="n" s="17">
        <v>0</v>
      </c>
      <c r="I216" t="n" s="18">
        <v>0</v>
      </c>
      <c r="J216" t="n" s="17">
        <v>0</v>
      </c>
      <c r="K216" t="n" s="19">
        <v>0</v>
      </c>
    </row>
    <row r="217" hidden="0" ht="15" customHeight="1" spans="1:1">
      <c r="A217" t="str" s="16">
        <f>HYPERLINK("https://amazon.com/dp/B0DD16F7T4", "B0DD16F7T4")</f>
      </c>
      <c r="B217" t="s">
        <v>229</v>
      </c>
      <c r="C217" t="s">
        <v>13</v>
      </c>
      <c r="D217" t="n" s="17">
        <v>0</v>
      </c>
      <c r="E217" t="n" s="17">
        <v>0</v>
      </c>
      <c r="F217" t="n" s="17">
        <v>0</v>
      </c>
      <c r="G217" t="n" s="17">
        <v>0</v>
      </c>
      <c r="H217" t="n" s="17">
        <v>0</v>
      </c>
      <c r="I217" t="n" s="18">
        <v>0</v>
      </c>
      <c r="J217" t="n" s="17">
        <v>0</v>
      </c>
      <c r="K217" t="n" s="19">
        <v>0</v>
      </c>
    </row>
    <row r="218" hidden="0" ht="15" customHeight="1" spans="1:1">
      <c r="A218" t="str" s="16">
        <f>HYPERLINK("https://amazon.com/dp/B07Z8833C7", "B07Z8833C7")</f>
      </c>
      <c r="B218" t="s">
        <v>230</v>
      </c>
      <c r="C218" t="s">
        <v>13</v>
      </c>
      <c r="D218" t="n" s="17">
        <v>0</v>
      </c>
      <c r="E218" t="n" s="17">
        <v>0</v>
      </c>
      <c r="F218" t="n" s="17">
        <v>0</v>
      </c>
      <c r="G218" t="n" s="17">
        <v>0</v>
      </c>
      <c r="H218" t="n" s="17">
        <v>0</v>
      </c>
      <c r="I218" t="n" s="18">
        <v>0</v>
      </c>
      <c r="J218" t="n" s="17">
        <v>0</v>
      </c>
      <c r="K218" t="n" s="19">
        <v>0</v>
      </c>
    </row>
    <row r="219" hidden="0" ht="15" customHeight="1" spans="1:1">
      <c r="A219" t="str" s="16">
        <f>HYPERLINK("https://amazon.com/dp/B0C1NQ44X7", "B0C1NQ44X7")</f>
      </c>
      <c r="B219" t="s">
        <v>231</v>
      </c>
      <c r="C219" t="s">
        <v>16</v>
      </c>
      <c r="D219" t="n" s="17">
        <v>0</v>
      </c>
      <c r="E219" t="n" s="17">
        <v>0</v>
      </c>
      <c r="F219" t="n" s="17">
        <v>0</v>
      </c>
      <c r="G219" t="n" s="17">
        <v>0</v>
      </c>
      <c r="H219" t="n" s="17">
        <v>0</v>
      </c>
      <c r="I219" t="n" s="18">
        <v>0</v>
      </c>
      <c r="J219" t="n" s="17">
        <v>0</v>
      </c>
      <c r="K219" t="n" s="19">
        <v>0</v>
      </c>
    </row>
    <row r="220" hidden="0" ht="15" customHeight="1" spans="1:1">
      <c r="A220" t="str" s="16">
        <f>HYPERLINK("https://amazon.com/dp/B08GDB7WQD", "B08GDB7WQD")</f>
      </c>
      <c r="B220" t="s">
        <v>232</v>
      </c>
      <c r="C220" t="s">
        <v>13</v>
      </c>
      <c r="D220" t="n" s="17">
        <v>0</v>
      </c>
      <c r="E220" t="n" s="17">
        <v>0</v>
      </c>
      <c r="F220" t="n" s="17">
        <v>0</v>
      </c>
      <c r="G220" t="n" s="17">
        <v>0</v>
      </c>
      <c r="H220" t="n" s="17">
        <v>0</v>
      </c>
      <c r="I220" t="n" s="18">
        <v>0</v>
      </c>
      <c r="J220" t="n" s="17">
        <v>0</v>
      </c>
      <c r="K220" t="n" s="19">
        <v>0</v>
      </c>
    </row>
    <row r="221" hidden="0" ht="15" customHeight="1" spans="1:1">
      <c r="A221" t="str" s="16">
        <f>HYPERLINK("https://amazon.com/dp/B09WXZWRKC", "B09WXZWRKC")</f>
      </c>
      <c r="B221" t="s">
        <v>233</v>
      </c>
      <c r="C221" t="s">
        <v>13</v>
      </c>
      <c r="D221" t="n" s="17">
        <v>0</v>
      </c>
      <c r="E221" t="n" s="17">
        <v>0</v>
      </c>
      <c r="F221" t="n" s="17">
        <v>0</v>
      </c>
      <c r="G221" t="n" s="17">
        <v>0</v>
      </c>
      <c r="H221" t="n" s="17">
        <v>0</v>
      </c>
      <c r="I221" t="n" s="18">
        <v>0</v>
      </c>
      <c r="J221" t="n" s="17">
        <v>0</v>
      </c>
      <c r="K221" t="n" s="19">
        <v>0</v>
      </c>
    </row>
    <row r="222" hidden="0" ht="15" customHeight="1" spans="1:1">
      <c r="A222" t="str" s="16">
        <f>HYPERLINK("https://amazon.com/dp/B0BGSHS9FN", "B0BGSHS9FN")</f>
      </c>
      <c r="B222" t="s">
        <v>234</v>
      </c>
      <c r="C222" t="s">
        <v>16</v>
      </c>
      <c r="D222" t="n" s="17">
        <v>0</v>
      </c>
      <c r="E222" t="n" s="17">
        <v>0</v>
      </c>
      <c r="F222" t="n" s="17">
        <v>0</v>
      </c>
      <c r="G222" t="n" s="17">
        <v>0</v>
      </c>
      <c r="H222" t="n" s="17">
        <v>0</v>
      </c>
      <c r="I222" t="n" s="18">
        <v>0</v>
      </c>
      <c r="J222" t="n" s="17">
        <v>0</v>
      </c>
      <c r="K222" t="n" s="19">
        <v>0</v>
      </c>
    </row>
    <row r="223" hidden="0" ht="15" customHeight="1" spans="1:1">
      <c r="A223" t="str" s="16">
        <f>HYPERLINK("https://amazon.com/dp/B0FQN7QDFC", "B0FQN7QDFC")</f>
      </c>
      <c r="B223" t="s">
        <v>235</v>
      </c>
      <c r="C223" t="s">
        <v>13</v>
      </c>
      <c r="D223" t="n" s="17">
        <v>0</v>
      </c>
      <c r="E223" t="n" s="17">
        <v>148</v>
      </c>
      <c r="F223" t="n" s="17">
        <v>0</v>
      </c>
      <c r="G223" t="n" s="17">
        <v>0</v>
      </c>
      <c r="H223" t="n" s="17">
        <v>0</v>
      </c>
      <c r="I223" t="n" s="18">
        <v>0.1149</v>
      </c>
      <c r="J223" t="n" s="17">
        <v>17</v>
      </c>
      <c r="K223" t="n" s="19">
        <v>10937.63</v>
      </c>
    </row>
    <row r="224" hidden="0" ht="15" customHeight="1" spans="1:1">
      <c r="A224" t="str" s="16">
        <f>HYPERLINK("https://amazon.com/dp/B0DQTLDKD2", "B0DQTLDKD2")</f>
      </c>
      <c r="B224" t="s">
        <v>236</v>
      </c>
      <c r="C224" t="s">
        <v>13</v>
      </c>
      <c r="D224" t="n" s="17">
        <v>0</v>
      </c>
      <c r="E224" t="n" s="17">
        <v>227</v>
      </c>
      <c r="F224" t="n" s="17">
        <v>0</v>
      </c>
      <c r="G224" t="n" s="17">
        <v>0</v>
      </c>
      <c r="H224" t="n" s="17">
        <v>0</v>
      </c>
      <c r="I224" t="n" s="18">
        <v>0.056799999999999996</v>
      </c>
      <c r="J224" t="n" s="17">
        <v>13</v>
      </c>
      <c r="K224" t="n" s="19">
        <v>10562.5</v>
      </c>
    </row>
    <row r="225" hidden="0" ht="15" customHeight="1" spans="1:1">
      <c r="A225" t="str" s="16">
        <f>HYPERLINK("https://amazon.com/dp/B01M6C9DPK", "B01M6C9DPK")</f>
      </c>
      <c r="B225" t="s">
        <v>237</v>
      </c>
      <c r="C225" t="s">
        <v>13</v>
      </c>
      <c r="D225" t="n" s="17">
        <v>0</v>
      </c>
      <c r="E225" t="n" s="17">
        <v>0</v>
      </c>
      <c r="F225" t="n" s="17">
        <v>0</v>
      </c>
      <c r="G225" t="n" s="17">
        <v>0</v>
      </c>
      <c r="H225" t="n" s="17">
        <v>0</v>
      </c>
      <c r="I225" t="n" s="18">
        <v>0</v>
      </c>
      <c r="J225" t="n" s="17">
        <v>0</v>
      </c>
      <c r="K225" t="n" s="19">
        <v>0</v>
      </c>
    </row>
    <row r="226" hidden="0" ht="15" customHeight="1" spans="1:1">
      <c r="A226" t="str" s="16">
        <f>HYPERLINK("https://amazon.com/dp/B07VC68RW1", "B07VC68RW1")</f>
      </c>
      <c r="B226" t="s">
        <v>238</v>
      </c>
      <c r="C226" t="s">
        <v>13</v>
      </c>
      <c r="D226" t="n" s="17">
        <v>0</v>
      </c>
      <c r="E226" t="n" s="17">
        <v>367</v>
      </c>
      <c r="F226" t="n" s="17">
        <v>0</v>
      </c>
      <c r="G226" t="n" s="17">
        <v>0</v>
      </c>
      <c r="H226" t="n" s="17">
        <v>0</v>
      </c>
      <c r="I226" t="n" s="18">
        <v>0.06480000000000001</v>
      </c>
      <c r="J226" t="n" s="17">
        <v>25</v>
      </c>
      <c r="K226" t="n" s="19">
        <v>13113.29</v>
      </c>
    </row>
    <row r="227" hidden="0" ht="15" customHeight="1" spans="1:1">
      <c r="A227" t="str" s="16">
        <f>HYPERLINK("https://amazon.com/dp/B0C6DKW6KX", "B0C6DKW6KX")</f>
      </c>
      <c r="B227" t="s">
        <v>239</v>
      </c>
      <c r="C227" t="s">
        <v>16</v>
      </c>
      <c r="D227" t="n" s="17">
        <v>0</v>
      </c>
      <c r="E227" t="n" s="17">
        <v>0</v>
      </c>
      <c r="F227" t="n" s="17">
        <v>0</v>
      </c>
      <c r="G227" t="n" s="17">
        <v>0</v>
      </c>
      <c r="H227" t="n" s="17">
        <v>0</v>
      </c>
      <c r="I227" t="n" s="18">
        <v>0</v>
      </c>
      <c r="J227" t="n" s="17">
        <v>0</v>
      </c>
      <c r="K227" t="n" s="19">
        <v>0</v>
      </c>
    </row>
    <row r="228" hidden="0" ht="15" customHeight="1" spans="1:1">
      <c r="A228" t="str" s="16">
        <f>HYPERLINK("https://amazon.com/dp/B08WQ16H4N", "B08WQ16H4N")</f>
      </c>
      <c r="B228" t="s">
        <v>240</v>
      </c>
      <c r="C228" t="s">
        <v>13</v>
      </c>
      <c r="D228" t="n" s="17">
        <v>0</v>
      </c>
      <c r="E228" t="n" s="17">
        <v>60</v>
      </c>
      <c r="F228" t="n" s="17">
        <v>0</v>
      </c>
      <c r="G228" t="n" s="17">
        <v>0</v>
      </c>
      <c r="H228" t="n" s="17">
        <v>0</v>
      </c>
      <c r="I228" t="n" s="18">
        <v>0.05</v>
      </c>
      <c r="J228" t="n" s="17">
        <v>3</v>
      </c>
      <c r="K228" t="n" s="19">
        <v>9497.49</v>
      </c>
    </row>
    <row r="229" hidden="0" ht="15" customHeight="1" spans="1:1">
      <c r="A229" t="str" s="16">
        <f>HYPERLINK("https://amazon.com/dp/B00BOJQFLE", "B00BOJQFLE")</f>
      </c>
      <c r="B229" t="s">
        <v>241</v>
      </c>
      <c r="C229" t="s">
        <v>13</v>
      </c>
      <c r="D229" t="n" s="17">
        <v>0</v>
      </c>
      <c r="E229" t="n" s="17">
        <v>44</v>
      </c>
      <c r="F229" t="n" s="17">
        <v>0</v>
      </c>
      <c r="G229" t="n" s="17">
        <v>0</v>
      </c>
      <c r="H229" t="n" s="17">
        <v>0</v>
      </c>
      <c r="I229" t="n" s="18">
        <v>0.0444</v>
      </c>
      <c r="J229" t="n" s="17">
        <v>2</v>
      </c>
      <c r="K229" t="n" s="19">
        <v>595.46</v>
      </c>
    </row>
    <row r="230" hidden="0" ht="15" customHeight="1" spans="1:1">
      <c r="A230" t="str" s="16">
        <f>HYPERLINK("https://amazon.com/dp/B0D6W3JHJF", "B0D6W3JHJF")</f>
      </c>
      <c r="B230" t="s">
        <v>242</v>
      </c>
      <c r="C230" t="s">
        <v>13</v>
      </c>
      <c r="D230" t="n" s="17">
        <v>0</v>
      </c>
      <c r="E230" t="n" s="17">
        <v>29</v>
      </c>
      <c r="F230" t="n" s="17">
        <v>0</v>
      </c>
      <c r="G230" t="n" s="17">
        <v>0</v>
      </c>
      <c r="H230" t="n" s="17">
        <v>0</v>
      </c>
      <c r="I230" t="n" s="18">
        <v>0.069</v>
      </c>
      <c r="J230" t="n" s="17">
        <v>2</v>
      </c>
      <c r="K230" t="n" s="19">
        <v>1715</v>
      </c>
    </row>
    <row r="231" hidden="0" ht="15" customHeight="1" spans="1:1">
      <c r="A231" t="str" s="16">
        <f>HYPERLINK("https://amazon.com/dp/B09LVG58VX", "B09LVG58VX")</f>
      </c>
      <c r="B231" t="s">
        <v>243</v>
      </c>
      <c r="C231" t="s">
        <v>13</v>
      </c>
      <c r="D231" t="n" s="17">
        <v>0</v>
      </c>
      <c r="E231" t="n" s="17">
        <v>413</v>
      </c>
      <c r="F231" t="n" s="17">
        <v>0</v>
      </c>
      <c r="G231" t="n" s="17">
        <v>0</v>
      </c>
      <c r="H231" t="n" s="17">
        <v>0</v>
      </c>
      <c r="I231" t="n" s="18">
        <v>0.0268</v>
      </c>
      <c r="J231" t="n" s="17">
        <v>12</v>
      </c>
      <c r="K231" t="n" s="19">
        <v>103898.89</v>
      </c>
    </row>
    <row r="232" hidden="0" ht="15" customHeight="1" spans="1:1">
      <c r="A232" t="str" s="16">
        <f>HYPERLINK("https://amazon.com/dp/B0BZMLKXL4", "B0BZMLKXL4")</f>
      </c>
      <c r="B232" t="s">
        <v>244</v>
      </c>
      <c r="C232" t="s">
        <v>16</v>
      </c>
      <c r="D232" t="n" s="17">
        <v>0</v>
      </c>
      <c r="E232" t="n" s="17">
        <v>87</v>
      </c>
      <c r="F232" t="n" s="17">
        <v>0</v>
      </c>
      <c r="G232" t="n" s="17">
        <v>0</v>
      </c>
      <c r="H232" t="n" s="17">
        <v>0</v>
      </c>
      <c r="I232" t="n" s="18">
        <v>0.014199999999999999</v>
      </c>
      <c r="J232" t="n" s="17">
        <v>6</v>
      </c>
      <c r="K232" t="n" s="19">
        <v>9382.52</v>
      </c>
    </row>
    <row r="233" hidden="0" ht="15" customHeight="1" spans="1:1">
      <c r="A233" t="str" s="16">
        <f>HYPERLINK("https://amazon.com/dp/B07CF4CDNM", "B07CF4CDNM")</f>
      </c>
      <c r="B233" t="s">
        <v>245</v>
      </c>
      <c r="C233" t="s">
        <v>13</v>
      </c>
      <c r="D233" t="n" s="17">
        <v>0</v>
      </c>
      <c r="E233" t="n" s="17">
        <v>59</v>
      </c>
      <c r="F233" t="n" s="17">
        <v>0</v>
      </c>
      <c r="G233" t="n" s="17">
        <v>0</v>
      </c>
      <c r="H233" t="n" s="17">
        <v>0</v>
      </c>
      <c r="I233" t="n" s="18">
        <v>0.0362</v>
      </c>
      <c r="J233" t="n" s="17">
        <v>5</v>
      </c>
      <c r="K233" t="n" s="19">
        <v>4086.72</v>
      </c>
    </row>
    <row r="234" hidden="0" ht="15" customHeight="1" spans="1:1">
      <c r="A234" t="str" s="16">
        <f>HYPERLINK("https://amazon.com/dp/B003WK62OS", "B003WK62OS")</f>
      </c>
      <c r="B234" t="s">
        <v>246</v>
      </c>
      <c r="C234" t="s">
        <v>13</v>
      </c>
      <c r="D234" t="n" s="17">
        <v>0</v>
      </c>
      <c r="E234" t="n" s="17">
        <v>0</v>
      </c>
      <c r="F234" t="n" s="17">
        <v>0</v>
      </c>
      <c r="G234" t="n" s="17">
        <v>0</v>
      </c>
      <c r="H234" t="n" s="17">
        <v>0</v>
      </c>
      <c r="I234" t="n" s="18">
        <v>0</v>
      </c>
      <c r="J234" t="n" s="17">
        <v>0</v>
      </c>
      <c r="K234" t="n" s="19">
        <v>0</v>
      </c>
    </row>
    <row r="235" hidden="0" ht="15" customHeight="1" spans="1:1">
      <c r="A235" t="str" s="16">
        <f>HYPERLINK("https://amazon.com/dp/B0DCW6K8FS", "B0DCW6K8FS")</f>
      </c>
      <c r="B235" t="s">
        <v>247</v>
      </c>
      <c r="C235" t="s">
        <v>13</v>
      </c>
      <c r="D235" t="n" s="17">
        <v>0</v>
      </c>
      <c r="E235" t="n" s="17">
        <v>0</v>
      </c>
      <c r="F235" t="n" s="17">
        <v>0</v>
      </c>
      <c r="G235" t="n" s="17">
        <v>0</v>
      </c>
      <c r="H235" t="n" s="17">
        <v>0</v>
      </c>
      <c r="I235" t="n" s="18">
        <v>0</v>
      </c>
      <c r="J235" t="n" s="17">
        <v>0</v>
      </c>
      <c r="K235" t="n" s="19">
        <v>0</v>
      </c>
    </row>
    <row r="236" hidden="0" ht="15" customHeight="1" spans="1:1">
      <c r="A236" t="str" s="16">
        <f>HYPERLINK("https://amazon.com/dp/B00A128S24", "B00A128S24")</f>
      </c>
      <c r="B236" t="s">
        <v>248</v>
      </c>
      <c r="C236" t="s">
        <v>13</v>
      </c>
      <c r="D236" t="n" s="17">
        <v>0</v>
      </c>
      <c r="E236" t="n" s="17">
        <v>193</v>
      </c>
      <c r="F236" t="n" s="17">
        <v>0</v>
      </c>
      <c r="G236" t="n" s="17">
        <v>0</v>
      </c>
      <c r="H236" t="n" s="17">
        <v>0</v>
      </c>
      <c r="I236" t="n" s="18">
        <v>0.12210000000000001</v>
      </c>
      <c r="J236" t="n" s="17">
        <v>26</v>
      </c>
      <c r="K236" t="n" s="19">
        <v>16849.08</v>
      </c>
    </row>
    <row r="237" hidden="0" ht="15" customHeight="1" spans="1:1">
      <c r="A237" t="str" s="16">
        <f>HYPERLINK("https://amazon.com/dp/B0CVR9WVFX", "B0CVR9WVFX")</f>
      </c>
      <c r="B237" t="s">
        <v>249</v>
      </c>
      <c r="C237" t="s">
        <v>16</v>
      </c>
      <c r="D237" t="n" s="17">
        <v>0</v>
      </c>
      <c r="E237" t="n" s="17">
        <v>0</v>
      </c>
      <c r="F237" t="n" s="17">
        <v>0</v>
      </c>
      <c r="G237" t="n" s="17">
        <v>0</v>
      </c>
      <c r="H237" t="n" s="17">
        <v>0</v>
      </c>
      <c r="I237" t="n" s="18">
        <v>0</v>
      </c>
      <c r="J237" t="n" s="17">
        <v>0</v>
      </c>
      <c r="K237" t="n" s="19">
        <v>0</v>
      </c>
    </row>
    <row r="238" hidden="0" ht="15" customHeight="1" spans="1:1">
      <c r="A238" t="str" s="16">
        <f>HYPERLINK("https://amazon.com/dp/B09BJ2QPKN", "B09BJ2QPKN")</f>
      </c>
      <c r="B238" t="s">
        <v>250</v>
      </c>
      <c r="C238" t="s">
        <v>13</v>
      </c>
      <c r="D238" t="n" s="17">
        <v>0</v>
      </c>
      <c r="E238" t="n" s="17">
        <v>0</v>
      </c>
      <c r="F238" t="n" s="17">
        <v>0</v>
      </c>
      <c r="G238" t="n" s="17">
        <v>0</v>
      </c>
      <c r="H238" t="n" s="17">
        <v>0</v>
      </c>
      <c r="I238" t="n" s="18">
        <v>0</v>
      </c>
      <c r="J238" t="n" s="17">
        <v>0</v>
      </c>
      <c r="K238" t="n" s="19">
        <v>0</v>
      </c>
    </row>
    <row r="239" hidden="0" ht="15" customHeight="1" spans="1:1">
      <c r="A239" t="str" s="16">
        <f>HYPERLINK("https://amazon.com/dp/B01N2U8YRF", "B01N2U8YRF")</f>
      </c>
      <c r="B239" t="s">
        <v>251</v>
      </c>
      <c r="C239" t="s">
        <v>13</v>
      </c>
      <c r="D239" t="n" s="17">
        <v>0</v>
      </c>
      <c r="E239" t="n" s="17">
        <v>0</v>
      </c>
      <c r="F239" t="n" s="17">
        <v>0</v>
      </c>
      <c r="G239" t="n" s="17">
        <v>0</v>
      </c>
      <c r="H239" t="n" s="17">
        <v>0</v>
      </c>
      <c r="I239" t="n" s="18">
        <v>0</v>
      </c>
      <c r="J239" t="n" s="17">
        <v>0</v>
      </c>
      <c r="K239" t="n" s="19">
        <v>0</v>
      </c>
    </row>
    <row r="240" hidden="0" ht="15" customHeight="1" spans="1:1">
      <c r="A240" t="str" s="16">
        <f>HYPERLINK("https://amazon.com/dp/B00172Q5M2", "B00172Q5M2")</f>
      </c>
      <c r="B240" t="s">
        <v>252</v>
      </c>
      <c r="C240" t="s">
        <v>13</v>
      </c>
      <c r="D240" t="n" s="17">
        <v>0</v>
      </c>
      <c r="E240" t="n" s="17">
        <v>8</v>
      </c>
      <c r="F240" t="n" s="17">
        <v>0</v>
      </c>
      <c r="G240" t="n" s="17">
        <v>0</v>
      </c>
      <c r="H240" t="n" s="17">
        <v>0</v>
      </c>
      <c r="I240" t="n" s="18">
        <v>0</v>
      </c>
      <c r="J240" t="n" s="17">
        <v>0</v>
      </c>
      <c r="K240" t="n" s="19">
        <v>0</v>
      </c>
    </row>
    <row r="241" hidden="0" ht="15" customHeight="1" spans="1:1">
      <c r="A241" t="str" s="16">
        <f>HYPERLINK("https://amazon.com/dp/B0CJJ712ZX", "B0CJJ712ZX")</f>
      </c>
      <c r="B241" t="s">
        <v>253</v>
      </c>
      <c r="C241" t="s">
        <v>13</v>
      </c>
      <c r="D241" t="n" s="17">
        <v>0</v>
      </c>
      <c r="E241" t="n" s="17">
        <v>0</v>
      </c>
      <c r="F241" t="n" s="17">
        <v>0</v>
      </c>
      <c r="G241" t="n" s="17">
        <v>0</v>
      </c>
      <c r="H241" t="n" s="17">
        <v>0</v>
      </c>
      <c r="I241" t="n" s="18">
        <v>0</v>
      </c>
      <c r="J241" t="n" s="17">
        <v>0</v>
      </c>
      <c r="K241" t="n" s="19">
        <v>0</v>
      </c>
    </row>
    <row r="242" hidden="0" ht="15" customHeight="1" spans="1:1">
      <c r="A242" t="str" s="16">
        <f>HYPERLINK("https://amazon.com/dp/B0F1Z7SB2N", "B0F1Z7SB2N")</f>
      </c>
      <c r="B242" t="s">
        <v>254</v>
      </c>
      <c r="C242" t="s">
        <v>16</v>
      </c>
      <c r="D242" t="n" s="17">
        <v>0</v>
      </c>
      <c r="E242" t="n" s="17">
        <v>41</v>
      </c>
      <c r="F242" t="n" s="17">
        <v>0</v>
      </c>
      <c r="G242" t="n" s="17">
        <v>0</v>
      </c>
      <c r="H242" t="n" s="17">
        <v>0</v>
      </c>
      <c r="I242" t="n" s="18">
        <v>0.006</v>
      </c>
      <c r="J242" t="n" s="17">
        <v>5</v>
      </c>
      <c r="K242" t="n" s="19">
        <v>11430.07</v>
      </c>
    </row>
    <row r="243" hidden="0" ht="15" customHeight="1" spans="1:1">
      <c r="A243" t="str" s="16">
        <f>HYPERLINK("https://amazon.com/dp/B0FZ439BD1", "B0FZ439BD1")</f>
      </c>
      <c r="B243" t="s">
        <v>255</v>
      </c>
      <c r="C243" t="s">
        <v>29</v>
      </c>
      <c r="D243" t="n" s="17">
        <v>0</v>
      </c>
      <c r="E243" t="n" s="17">
        <v>48</v>
      </c>
      <c r="F243" t="n" s="17">
        <v>0</v>
      </c>
      <c r="G243" t="n" s="17">
        <v>0</v>
      </c>
      <c r="H243" t="n" s="17">
        <v>0</v>
      </c>
      <c r="I243" t="n" s="18">
        <v>0</v>
      </c>
      <c r="J243" t="n" s="17">
        <v>0</v>
      </c>
      <c r="K243" t="n" s="19">
        <v>0</v>
      </c>
    </row>
    <row r="244" hidden="0" ht="15" customHeight="1" spans="1:1">
      <c r="A244" t="str" s="16">
        <f>HYPERLINK("https://amazon.com/dp/B0D546B4LL", "B0D546B4LL")</f>
      </c>
      <c r="B244" t="s">
        <v>256</v>
      </c>
      <c r="C244" t="s">
        <v>16</v>
      </c>
      <c r="D244" t="n" s="17">
        <v>0</v>
      </c>
      <c r="E244" t="n" s="17">
        <v>0</v>
      </c>
      <c r="F244" t="n" s="17">
        <v>0</v>
      </c>
      <c r="G244" t="n" s="17">
        <v>0</v>
      </c>
      <c r="H244" t="n" s="17">
        <v>0</v>
      </c>
      <c r="I244" t="n" s="18">
        <v>0</v>
      </c>
      <c r="J244" t="n" s="17">
        <v>0</v>
      </c>
      <c r="K244" t="n" s="19">
        <v>0</v>
      </c>
    </row>
    <row r="245" hidden="0" ht="15" customHeight="1" spans="1:1">
      <c r="A245" t="str" s="16">
        <f>HYPERLINK("https://amazon.com/dp/B0GVN15P4Q", "B0GVN15P4Q")</f>
      </c>
      <c r="B245" t="s">
        <v>257</v>
      </c>
      <c r="C245" t="s">
        <v>13</v>
      </c>
      <c r="D245" t="n" s="17">
        <v>0</v>
      </c>
      <c r="E245" t="n" s="17">
        <v>30</v>
      </c>
      <c r="F245" t="n" s="17">
        <v>0</v>
      </c>
      <c r="G245" t="n" s="17">
        <v>0</v>
      </c>
      <c r="H245" t="n" s="17">
        <v>0</v>
      </c>
      <c r="I245" t="n" s="18">
        <v>0.0333</v>
      </c>
      <c r="J245" t="n" s="17">
        <v>1</v>
      </c>
      <c r="K245" t="n" s="19">
        <v>1257.41</v>
      </c>
    </row>
    <row r="246" hidden="0" ht="15" customHeight="1" spans="1:1">
      <c r="A246" t="str" s="16">
        <f>HYPERLINK("https://amazon.com/dp/B0895THR4Z", "B0895THR4Z")</f>
      </c>
      <c r="B246" t="s">
        <v>258</v>
      </c>
      <c r="C246" t="s">
        <v>13</v>
      </c>
      <c r="D246" t="n" s="17">
        <v>0</v>
      </c>
      <c r="E246" t="n" s="17">
        <v>9</v>
      </c>
      <c r="F246" t="n" s="17">
        <v>0</v>
      </c>
      <c r="G246" t="n" s="17">
        <v>0</v>
      </c>
      <c r="H246" t="n" s="17">
        <v>0</v>
      </c>
      <c r="I246" t="n" s="18">
        <v>0</v>
      </c>
      <c r="J246" t="n" s="17">
        <v>0</v>
      </c>
      <c r="K246" t="n" s="19">
        <v>0</v>
      </c>
    </row>
    <row r="247" hidden="0" ht="15" customHeight="1" spans="1:1">
      <c r="A247" t="str" s="16">
        <f>HYPERLINK("https://amazon.com/dp/B0BDXT2R9F", "B0BDXT2R9F")</f>
      </c>
      <c r="B247" t="s">
        <v>259</v>
      </c>
      <c r="C247" t="s">
        <v>16</v>
      </c>
      <c r="D247" t="n" s="17">
        <v>0</v>
      </c>
      <c r="E247" t="n" s="17">
        <v>288</v>
      </c>
      <c r="F247" t="n" s="17">
        <v>0</v>
      </c>
      <c r="G247" t="n" s="17">
        <v>0</v>
      </c>
      <c r="H247" t="n" s="17">
        <v>0</v>
      </c>
      <c r="I247" t="n" s="18">
        <v>0.0278</v>
      </c>
      <c r="J247" t="n" s="17">
        <v>8</v>
      </c>
      <c r="K247" t="n" s="19">
        <v>5993.36</v>
      </c>
    </row>
    <row r="248" hidden="0" ht="15" customHeight="1" spans="1:1">
      <c r="A248" t="str" s="16">
        <f>HYPERLINK("https://amazon.com/dp/B098TVZ6TS", "B098TVZ6TS")</f>
      </c>
      <c r="B248" t="s">
        <v>260</v>
      </c>
      <c r="C248" t="s">
        <v>16</v>
      </c>
      <c r="D248" t="n" s="17">
        <v>0</v>
      </c>
      <c r="E248" t="n" s="17">
        <v>14</v>
      </c>
      <c r="F248" t="n" s="17">
        <v>0</v>
      </c>
      <c r="G248" t="n" s="17">
        <v>0</v>
      </c>
      <c r="H248" t="n" s="17">
        <v>0</v>
      </c>
      <c r="I248" t="n" s="18">
        <v>0.005600000000000001</v>
      </c>
      <c r="J248" t="n" s="17">
        <v>2</v>
      </c>
      <c r="K248" t="n" s="19">
        <v>2956.66</v>
      </c>
    </row>
    <row r="249" hidden="0" ht="15" customHeight="1" spans="1:1">
      <c r="A249" t="str" s="16">
        <f>HYPERLINK("https://amazon.com/dp/B07MDH8HV4", "B07MDH8HV4")</f>
      </c>
      <c r="B249" t="s">
        <v>261</v>
      </c>
      <c r="C249" t="s">
        <v>13</v>
      </c>
      <c r="D249" t="n" s="17">
        <v>0</v>
      </c>
      <c r="E249" t="n" s="17">
        <v>0</v>
      </c>
      <c r="F249" t="n" s="17">
        <v>0</v>
      </c>
      <c r="G249" t="n" s="17">
        <v>0</v>
      </c>
      <c r="H249" t="n" s="17">
        <v>0</v>
      </c>
      <c r="I249" t="n" s="18">
        <v>0</v>
      </c>
      <c r="J249" t="n" s="17">
        <v>0</v>
      </c>
      <c r="K249" t="n" s="19">
        <v>0</v>
      </c>
    </row>
    <row r="250" hidden="0" ht="15" customHeight="1" spans="1:1">
      <c r="A250" t="str" s="16">
        <f>HYPERLINK("https://amazon.com/dp/B0FZ42SM7R", "B0FZ42SM7R")</f>
      </c>
      <c r="B250" t="s">
        <v>262</v>
      </c>
      <c r="C250" t="s">
        <v>29</v>
      </c>
      <c r="D250" t="n" s="17">
        <v>0</v>
      </c>
      <c r="E250" t="n" s="17">
        <v>109</v>
      </c>
      <c r="F250" t="n" s="17">
        <v>0</v>
      </c>
      <c r="G250" t="n" s="17">
        <v>0</v>
      </c>
      <c r="H250" t="n" s="17">
        <v>0</v>
      </c>
      <c r="I250" t="n" s="18">
        <v>0.0165</v>
      </c>
      <c r="J250" t="n" s="17">
        <v>9</v>
      </c>
      <c r="K250" t="n" s="19">
        <v>9604.89</v>
      </c>
    </row>
    <row r="251" hidden="0" ht="15" customHeight="1" spans="1:1">
      <c r="A251" t="str" s="16">
        <f>HYPERLINK("https://amazon.com/dp/B0BNKKLYYY", "B0BNKKLYYY")</f>
      </c>
      <c r="B251" t="s">
        <v>263</v>
      </c>
      <c r="C251" t="s">
        <v>13</v>
      </c>
      <c r="D251" t="n" s="17">
        <v>0</v>
      </c>
      <c r="E251" t="n" s="17">
        <v>0</v>
      </c>
      <c r="F251" t="n" s="17">
        <v>0</v>
      </c>
      <c r="G251" t="n" s="17">
        <v>0</v>
      </c>
      <c r="H251" t="n" s="17">
        <v>0</v>
      </c>
      <c r="I251" t="n" s="18">
        <v>0</v>
      </c>
      <c r="J251" t="n" s="17">
        <v>0</v>
      </c>
      <c r="K251" t="n" s="19">
        <v>0</v>
      </c>
    </row>
    <row r="252" hidden="0" ht="15" customHeight="1" spans="1:1">
      <c r="A252" t="str" s="16">
        <f>HYPERLINK("https://amazon.com/dp/B07T3687DF", "B07T3687DF")</f>
      </c>
      <c r="B252" t="s">
        <v>264</v>
      </c>
      <c r="C252" t="s">
        <v>13</v>
      </c>
      <c r="D252" t="n" s="17">
        <v>0</v>
      </c>
      <c r="E252" t="n" s="17">
        <v>0</v>
      </c>
      <c r="F252" t="n" s="17">
        <v>0</v>
      </c>
      <c r="G252" t="n" s="17">
        <v>0</v>
      </c>
      <c r="H252" t="n" s="17">
        <v>0</v>
      </c>
      <c r="I252" t="n" s="18">
        <v>0</v>
      </c>
      <c r="J252" t="n" s="17">
        <v>0</v>
      </c>
      <c r="K252" t="n" s="19">
        <v>0</v>
      </c>
    </row>
    <row r="253" hidden="0" ht="15" customHeight="1" spans="1:1">
      <c r="A253" t="str" s="16">
        <f>HYPERLINK("https://amazon.com/dp/B07P681N66", "B07P681N66")</f>
      </c>
      <c r="B253" t="s">
        <v>265</v>
      </c>
      <c r="C253" t="s">
        <v>13</v>
      </c>
      <c r="D253" t="n" s="17">
        <v>0</v>
      </c>
      <c r="E253" t="n" s="17">
        <v>228</v>
      </c>
      <c r="F253" t="n" s="17">
        <v>0</v>
      </c>
      <c r="G253" t="n" s="17">
        <v>0</v>
      </c>
      <c r="H253" t="n" s="17">
        <v>0</v>
      </c>
      <c r="I253" t="n" s="18">
        <v>0.048</v>
      </c>
      <c r="J253" t="n" s="17">
        <v>13</v>
      </c>
      <c r="K253" t="n" s="19">
        <v>7386.62</v>
      </c>
    </row>
    <row r="254" hidden="0" ht="15" customHeight="1" spans="1:1">
      <c r="A254" t="str" s="16">
        <f>HYPERLINK("https://amazon.com/dp/B06Y1SXP44", "B06Y1SXP44")</f>
      </c>
      <c r="B254" t="s">
        <v>266</v>
      </c>
      <c r="C254" t="s">
        <v>13</v>
      </c>
      <c r="D254" t="n" s="17">
        <v>0</v>
      </c>
      <c r="E254" t="n" s="17">
        <v>0</v>
      </c>
      <c r="F254" t="n" s="17">
        <v>0</v>
      </c>
      <c r="G254" t="n" s="17">
        <v>0</v>
      </c>
      <c r="H254" t="n" s="17">
        <v>0</v>
      </c>
      <c r="I254" t="n" s="18">
        <v>0</v>
      </c>
      <c r="J254" t="n" s="17">
        <v>0</v>
      </c>
      <c r="K254" t="n" s="19">
        <v>0</v>
      </c>
    </row>
    <row r="255" hidden="0" ht="15" customHeight="1" spans="1:1">
      <c r="A255" t="str" s="16">
        <f>HYPERLINK("https://amazon.com/dp/B0CPLWFF3J", "B0CPLWFF3J")</f>
      </c>
      <c r="B255" t="s">
        <v>267</v>
      </c>
      <c r="C255" t="s">
        <v>13</v>
      </c>
      <c r="D255" t="n" s="17">
        <v>0</v>
      </c>
      <c r="E255" t="n" s="17">
        <v>83</v>
      </c>
      <c r="F255" t="n" s="17">
        <v>0</v>
      </c>
      <c r="G255" t="n" s="17">
        <v>0</v>
      </c>
      <c r="H255" t="n" s="17">
        <v>0</v>
      </c>
      <c r="I255" t="n" s="18">
        <v>0.03</v>
      </c>
      <c r="J255" t="n" s="17">
        <v>3</v>
      </c>
      <c r="K255" t="n" s="19">
        <v>4827.69</v>
      </c>
    </row>
    <row r="256" hidden="0" ht="15" customHeight="1" spans="1:1">
      <c r="A256" t="str" s="16">
        <f>HYPERLINK("https://amazon.com/dp/B010C68N7S", "B010C68N7S")</f>
      </c>
      <c r="B256" t="s">
        <v>268</v>
      </c>
      <c r="C256" t="s">
        <v>16</v>
      </c>
      <c r="D256" t="n" s="17">
        <v>0</v>
      </c>
      <c r="E256" t="n" s="17">
        <v>0</v>
      </c>
      <c r="F256" t="n" s="17">
        <v>0</v>
      </c>
      <c r="G256" t="n" s="17">
        <v>0</v>
      </c>
      <c r="H256" t="n" s="17">
        <v>0</v>
      </c>
      <c r="I256" t="n" s="18">
        <v>0</v>
      </c>
      <c r="J256" t="n" s="17">
        <v>0</v>
      </c>
      <c r="K256" t="n" s="19">
        <v>0</v>
      </c>
    </row>
    <row r="257" hidden="0" ht="15" customHeight="1" spans="1:1">
      <c r="A257" t="str" s="16">
        <f>HYPERLINK("https://amazon.com/dp/B0FJLSHKB5", "B0FJLSHKB5")</f>
      </c>
      <c r="B257" t="s">
        <v>269</v>
      </c>
      <c r="C257" t="s">
        <v>13</v>
      </c>
      <c r="D257" t="n" s="17">
        <v>0</v>
      </c>
      <c r="E257" t="n" s="17">
        <v>0</v>
      </c>
      <c r="F257" t="n" s="17">
        <v>0</v>
      </c>
      <c r="G257" t="n" s="17">
        <v>0</v>
      </c>
      <c r="H257" t="n" s="17">
        <v>0</v>
      </c>
      <c r="I257" t="n" s="18">
        <v>0</v>
      </c>
      <c r="J257" t="n" s="17">
        <v>0</v>
      </c>
      <c r="K257" t="n" s="19">
        <v>0</v>
      </c>
    </row>
    <row r="258" hidden="0" ht="15" customHeight="1" spans="1:1">
      <c r="A258" t="str" s="16">
        <f>HYPERLINK("https://amazon.com/dp/B0DKSLLYTM", "B0DKSLLYTM")</f>
      </c>
      <c r="B258" t="s">
        <v>270</v>
      </c>
      <c r="C258" t="s">
        <v>29</v>
      </c>
      <c r="D258" t="n" s="17">
        <v>0</v>
      </c>
      <c r="E258" t="n" s="17">
        <v>16</v>
      </c>
      <c r="F258" t="n" s="17">
        <v>0</v>
      </c>
      <c r="G258" t="n" s="17">
        <v>0</v>
      </c>
      <c r="H258" t="n" s="17">
        <v>0</v>
      </c>
      <c r="I258" t="n" s="18">
        <v>0</v>
      </c>
      <c r="J258" t="n" s="17">
        <v>0</v>
      </c>
      <c r="K258" t="n" s="19">
        <v>0</v>
      </c>
    </row>
    <row r="259" hidden="0" ht="15" customHeight="1" spans="1:1">
      <c r="A259" t="str" s="16">
        <f>HYPERLINK("https://amazon.com/dp/B08FYB5HHK", "B08FYB5HHK")</f>
      </c>
      <c r="B259" t="s">
        <v>271</v>
      </c>
      <c r="C259" t="s">
        <v>13</v>
      </c>
      <c r="D259" t="n" s="17">
        <v>0</v>
      </c>
      <c r="E259" t="n" s="17">
        <v>306</v>
      </c>
      <c r="F259" t="n" s="17">
        <v>0</v>
      </c>
      <c r="G259" t="n" s="17">
        <v>0</v>
      </c>
      <c r="H259" t="n" s="17">
        <v>0</v>
      </c>
      <c r="I259" t="n" s="18">
        <v>0.0712</v>
      </c>
      <c r="J259" t="n" s="17">
        <v>22</v>
      </c>
      <c r="K259" t="n" s="19">
        <v>13715.34</v>
      </c>
    </row>
    <row r="260" hidden="0" ht="15" customHeight="1" spans="1:1">
      <c r="A260" t="str" s="16">
        <f>HYPERLINK("https://amazon.com/dp/B088H34DW9", "B088H34DW9")</f>
      </c>
      <c r="B260" t="s">
        <v>272</v>
      </c>
      <c r="C260" t="s">
        <v>13</v>
      </c>
      <c r="D260" t="n" s="17">
        <v>0</v>
      </c>
      <c r="E260" t="n" s="17">
        <v>0</v>
      </c>
      <c r="F260" t="n" s="17">
        <v>0</v>
      </c>
      <c r="G260" t="n" s="17">
        <v>0</v>
      </c>
      <c r="H260" t="n" s="17">
        <v>0</v>
      </c>
      <c r="I260" t="n" s="18">
        <v>0</v>
      </c>
      <c r="J260" t="n" s="17">
        <v>0</v>
      </c>
      <c r="K260" t="n" s="19">
        <v>0</v>
      </c>
    </row>
    <row r="261" hidden="0" ht="15" customHeight="1" spans="1:1">
      <c r="A261" t="str" s="16">
        <f>HYPERLINK("https://amazon.com/dp/B0CDCL6FLC", "B0CDCL6FLC")</f>
      </c>
      <c r="B261" t="s">
        <v>273</v>
      </c>
      <c r="C261" t="s">
        <v>16</v>
      </c>
      <c r="D261" t="n" s="17">
        <v>0</v>
      </c>
      <c r="E261" t="n" s="17">
        <v>5</v>
      </c>
      <c r="F261" t="n" s="17">
        <v>0</v>
      </c>
      <c r="G261" t="n" s="17">
        <v>0</v>
      </c>
      <c r="H261" t="n" s="17">
        <v>0</v>
      </c>
      <c r="I261" t="n" s="18">
        <v>-0.0015</v>
      </c>
      <c r="J261" t="n" s="17">
        <v>-1</v>
      </c>
      <c r="K261" t="n" s="19">
        <v>-1265.83</v>
      </c>
    </row>
    <row r="262" hidden="0" ht="15" customHeight="1" spans="1:1">
      <c r="A262" t="str" s="16">
        <f>HYPERLINK("https://amazon.com/dp/B09FPPVPRM", "B09FPPVPRM")</f>
      </c>
      <c r="B262" t="s">
        <v>274</v>
      </c>
      <c r="C262" t="s">
        <v>13</v>
      </c>
      <c r="D262" t="n" s="17">
        <v>0</v>
      </c>
      <c r="E262" t="n" s="17">
        <v>0</v>
      </c>
      <c r="F262" t="n" s="17">
        <v>0</v>
      </c>
      <c r="G262" t="n" s="17">
        <v>0</v>
      </c>
      <c r="H262" t="n" s="17">
        <v>0</v>
      </c>
      <c r="I262" t="n" s="18">
        <v>0</v>
      </c>
      <c r="J262" t="n" s="17">
        <v>0</v>
      </c>
      <c r="K262" t="n" s="19">
        <v>0</v>
      </c>
    </row>
    <row r="263" hidden="0" ht="15" customHeight="1" spans="1:1">
      <c r="A263" t="str" s="16">
        <f>HYPERLINK("https://amazon.com/dp/B01GNP5UUA", "B01GNP5UUA")</f>
      </c>
      <c r="B263" t="s">
        <v>275</v>
      </c>
      <c r="C263" t="s">
        <v>13</v>
      </c>
      <c r="D263" t="n" s="17">
        <v>0</v>
      </c>
      <c r="E263" t="n" s="17">
        <v>52</v>
      </c>
      <c r="F263" t="n" s="17">
        <v>0</v>
      </c>
      <c r="G263" t="n" s="17">
        <v>0</v>
      </c>
      <c r="H263" t="n" s="17">
        <v>0</v>
      </c>
      <c r="I263" t="n" s="18">
        <v>0.1481</v>
      </c>
      <c r="J263" t="n" s="17">
        <v>8</v>
      </c>
      <c r="K263" t="n" s="19">
        <v>3479.65</v>
      </c>
    </row>
    <row r="264" hidden="0" ht="15" customHeight="1" spans="1:1">
      <c r="A264" t="str" s="16">
        <f>HYPERLINK("https://amazon.com/dp/B0FGXQZJ5H", "B0FGXQZJ5H")</f>
      </c>
      <c r="B264" t="s">
        <v>276</v>
      </c>
      <c r="C264" t="s">
        <v>13</v>
      </c>
      <c r="D264" t="n" s="17">
        <v>0</v>
      </c>
      <c r="E264" t="n" s="17">
        <v>0</v>
      </c>
      <c r="F264" t="n" s="17">
        <v>0</v>
      </c>
      <c r="G264" t="n" s="17">
        <v>0</v>
      </c>
      <c r="H264" t="n" s="17">
        <v>0</v>
      </c>
      <c r="I264" t="n" s="18">
        <v>0</v>
      </c>
      <c r="J264" t="n" s="17">
        <v>0</v>
      </c>
      <c r="K264" t="n" s="19">
        <v>0</v>
      </c>
    </row>
    <row r="265" hidden="0" ht="15" customHeight="1" spans="1:1">
      <c r="A265" t="str" s="16">
        <f>HYPERLINK("https://amazon.com/dp/B0F3PDJC9F", "B0F3PDJC9F")</f>
      </c>
      <c r="B265" t="s">
        <v>277</v>
      </c>
      <c r="C265" t="s">
        <v>16</v>
      </c>
      <c r="D265" t="n" s="17">
        <v>0</v>
      </c>
      <c r="E265" t="n" s="17">
        <v>13</v>
      </c>
      <c r="F265" t="n" s="17">
        <v>0</v>
      </c>
      <c r="G265" t="n" s="17">
        <v>0</v>
      </c>
      <c r="H265" t="n" s="17">
        <v>0</v>
      </c>
      <c r="I265" t="n" s="18">
        <v>0.0143</v>
      </c>
      <c r="J265" t="n" s="17">
        <v>2</v>
      </c>
      <c r="K265" t="n" s="19">
        <v>9498.34</v>
      </c>
    </row>
    <row r="266" hidden="0" ht="15" customHeight="1" spans="1:1">
      <c r="A266" t="str" s="16">
        <f>HYPERLINK("https://amazon.com/dp/B01I5NUXI2", "B01I5NUXI2")</f>
      </c>
      <c r="B266" t="s">
        <v>278</v>
      </c>
      <c r="C266" t="s">
        <v>13</v>
      </c>
      <c r="D266" t="n" s="17">
        <v>0</v>
      </c>
      <c r="E266" t="n" s="17">
        <v>0</v>
      </c>
      <c r="F266" t="n" s="17">
        <v>0</v>
      </c>
      <c r="G266" t="n" s="17">
        <v>0</v>
      </c>
      <c r="H266" t="n" s="17">
        <v>0</v>
      </c>
      <c r="I266" t="n" s="18">
        <v>0</v>
      </c>
      <c r="J266" t="n" s="17">
        <v>0</v>
      </c>
      <c r="K266" t="n" s="19">
        <v>0</v>
      </c>
    </row>
    <row r="267" hidden="0" ht="15" customHeight="1" spans="1:1">
      <c r="A267" t="str" s="16">
        <f>HYPERLINK("https://amazon.com/dp/B00DD152WY", "B00DD152WY")</f>
      </c>
      <c r="B267" t="s">
        <v>279</v>
      </c>
      <c r="C267" t="s">
        <v>13</v>
      </c>
      <c r="D267" t="n" s="17">
        <v>0</v>
      </c>
      <c r="E267" t="n" s="17">
        <v>50</v>
      </c>
      <c r="F267" t="n" s="17">
        <v>0</v>
      </c>
      <c r="G267" t="n" s="17">
        <v>0</v>
      </c>
      <c r="H267" t="n" s="17">
        <v>0</v>
      </c>
      <c r="I267" t="n" s="18">
        <v>0.049400000000000006</v>
      </c>
      <c r="J267" t="n" s="17">
        <v>4</v>
      </c>
      <c r="K267" t="n" s="19">
        <v>3360.19</v>
      </c>
    </row>
    <row r="268" hidden="0" ht="15" customHeight="1" spans="1:1">
      <c r="A268" t="str" s="16">
        <f>HYPERLINK("https://amazon.com/dp/B0BD97BNF4", "B0BD97BNF4")</f>
      </c>
      <c r="B268" t="s">
        <v>280</v>
      </c>
      <c r="C268" t="s">
        <v>16</v>
      </c>
      <c r="D268" t="n" s="17">
        <v>0</v>
      </c>
      <c r="E268" t="n" s="17">
        <v>0</v>
      </c>
      <c r="F268" t="n" s="17">
        <v>0</v>
      </c>
      <c r="G268" t="n" s="17">
        <v>0</v>
      </c>
      <c r="H268" t="n" s="17">
        <v>0</v>
      </c>
      <c r="I268" t="n" s="18">
        <v>0</v>
      </c>
      <c r="J268" t="n" s="17">
        <v>0</v>
      </c>
      <c r="K268" t="n" s="19">
        <v>0</v>
      </c>
    </row>
    <row r="269" hidden="0" ht="15" customHeight="1" spans="1:1">
      <c r="A269" t="str" s="16">
        <f>HYPERLINK("https://amazon.com/dp/B0BDXQBKQQ", "B0BDXQBKQQ")</f>
      </c>
      <c r="B269" t="s">
        <v>281</v>
      </c>
      <c r="C269" t="s">
        <v>16</v>
      </c>
      <c r="D269" t="n" s="17">
        <v>0</v>
      </c>
      <c r="E269" t="n" s="17">
        <v>319</v>
      </c>
      <c r="F269" t="n" s="17">
        <v>0</v>
      </c>
      <c r="G269" t="n" s="17">
        <v>0</v>
      </c>
      <c r="H269" t="n" s="17">
        <v>0</v>
      </c>
      <c r="I269" t="n" s="18">
        <v>0.0219</v>
      </c>
      <c r="J269" t="n" s="17">
        <v>7</v>
      </c>
      <c r="K269" t="n" s="19">
        <v>4660.81</v>
      </c>
    </row>
    <row r="270" hidden="0" ht="15" customHeight="1" spans="1:1">
      <c r="A270" t="str" s="16">
        <f>HYPERLINK("https://amazon.com/dp/B0FMR6CSTD", "B0FMR6CSTD")</f>
      </c>
      <c r="B270" t="s">
        <v>282</v>
      </c>
      <c r="C270" t="s">
        <v>16</v>
      </c>
      <c r="D270" t="n" s="17">
        <v>0</v>
      </c>
      <c r="E270" t="n" s="17">
        <v>1079</v>
      </c>
      <c r="F270" t="n" s="17">
        <v>0</v>
      </c>
      <c r="G270" t="n" s="17">
        <v>0</v>
      </c>
      <c r="H270" t="n" s="17">
        <v>0</v>
      </c>
      <c r="I270" t="n" s="18">
        <v>0.015600000000000001</v>
      </c>
      <c r="J270" t="n" s="17">
        <v>17</v>
      </c>
      <c r="K270" t="n" s="19">
        <v>50445.82</v>
      </c>
    </row>
    <row r="271" hidden="0" ht="15" customHeight="1" spans="1:1">
      <c r="A271" t="str" s="16">
        <f>HYPERLINK("https://amazon.com/dp/B01M5JJXFR", "B01M5JJXFR")</f>
      </c>
      <c r="B271" t="s">
        <v>283</v>
      </c>
      <c r="C271" t="s">
        <v>13</v>
      </c>
      <c r="D271" t="n" s="17">
        <v>0</v>
      </c>
      <c r="E271" t="n" s="17">
        <v>0</v>
      </c>
      <c r="F271" t="n" s="17">
        <v>0</v>
      </c>
      <c r="G271" t="n" s="17">
        <v>0</v>
      </c>
      <c r="H271" t="n" s="17">
        <v>0</v>
      </c>
      <c r="I271" t="n" s="18">
        <v>0</v>
      </c>
      <c r="J271" t="n" s="17">
        <v>0</v>
      </c>
      <c r="K271" t="n" s="19">
        <v>0</v>
      </c>
    </row>
    <row r="272" hidden="0" ht="15" customHeight="1" spans="1:1">
      <c r="A272" t="str" s="16">
        <f>HYPERLINK("https://amazon.com/dp/B0CQLHSSCJ", "B0CQLHSSCJ")</f>
      </c>
      <c r="B272" t="s">
        <v>284</v>
      </c>
      <c r="C272" t="s">
        <v>29</v>
      </c>
      <c r="D272" t="n" s="17">
        <v>0</v>
      </c>
      <c r="E272" t="n" s="17">
        <v>0</v>
      </c>
      <c r="F272" t="n" s="17">
        <v>0</v>
      </c>
      <c r="G272" t="n" s="17">
        <v>0</v>
      </c>
      <c r="H272" t="n" s="17">
        <v>0</v>
      </c>
      <c r="I272" t="n" s="18">
        <v>0</v>
      </c>
      <c r="J272" t="n" s="17">
        <v>0</v>
      </c>
      <c r="K272" t="n" s="19">
        <v>0</v>
      </c>
    </row>
    <row r="273" hidden="0" ht="15" customHeight="1" spans="1:1">
      <c r="A273" t="str" s="16">
        <f>HYPERLINK("https://amazon.com/dp/B07RQT8VX1", "B07RQT8VX1")</f>
      </c>
      <c r="B273" t="s">
        <v>285</v>
      </c>
      <c r="C273" t="s">
        <v>13</v>
      </c>
      <c r="D273" t="n" s="17">
        <v>0</v>
      </c>
      <c r="E273" t="n" s="17">
        <v>0</v>
      </c>
      <c r="F273" t="n" s="17">
        <v>0</v>
      </c>
      <c r="G273" t="n" s="17">
        <v>0</v>
      </c>
      <c r="H273" t="n" s="17">
        <v>0</v>
      </c>
      <c r="I273" t="n" s="18">
        <v>0</v>
      </c>
      <c r="J273" t="n" s="17">
        <v>0</v>
      </c>
      <c r="K273" t="n" s="19">
        <v>0</v>
      </c>
    </row>
    <row r="274" hidden="0" ht="15" customHeight="1" spans="1:1">
      <c r="A274" t="str" s="16">
        <f>HYPERLINK("https://amazon.com/dp/B0BPYPK2QC", "B0BPYPK2QC")</f>
      </c>
      <c r="B274" t="s">
        <v>286</v>
      </c>
      <c r="C274" t="s">
        <v>29</v>
      </c>
      <c r="D274" t="n" s="17">
        <v>0</v>
      </c>
      <c r="E274" t="n" s="17">
        <v>106</v>
      </c>
      <c r="F274" t="n" s="17">
        <v>0</v>
      </c>
      <c r="G274" t="n" s="17">
        <v>0</v>
      </c>
      <c r="H274" t="n" s="17">
        <v>0</v>
      </c>
      <c r="I274" t="n" s="18">
        <v>0</v>
      </c>
      <c r="J274" t="n" s="17">
        <v>0</v>
      </c>
      <c r="K274" t="n" s="19">
        <v>0</v>
      </c>
    </row>
    <row r="275" hidden="0" ht="15" customHeight="1" spans="1:1">
      <c r="A275" t="str" s="16">
        <f>HYPERLINK("https://amazon.com/dp/B07QWZTG7F", "B07QWZTG7F")</f>
      </c>
      <c r="B275" t="s">
        <v>287</v>
      </c>
      <c r="C275" t="s">
        <v>13</v>
      </c>
      <c r="D275" t="n" s="17">
        <v>0</v>
      </c>
      <c r="E275" t="n" s="17">
        <v>3</v>
      </c>
      <c r="F275" t="n" s="17">
        <v>0</v>
      </c>
      <c r="G275" t="n" s="17">
        <v>0</v>
      </c>
      <c r="H275" t="n" s="17">
        <v>0</v>
      </c>
      <c r="I275" t="n" s="18">
        <v>0</v>
      </c>
      <c r="J275" t="n" s="17">
        <v>0</v>
      </c>
      <c r="K275" t="n" s="19">
        <v>0</v>
      </c>
    </row>
    <row r="276" hidden="0" ht="15" customHeight="1" spans="1:1">
      <c r="A276" t="str" s="16">
        <f>HYPERLINK("https://amazon.com/dp/B0894L5BLS", "B0894L5BLS")</f>
      </c>
      <c r="B276" t="s">
        <v>288</v>
      </c>
      <c r="C276" t="s">
        <v>13</v>
      </c>
      <c r="D276" t="n" s="17">
        <v>0</v>
      </c>
      <c r="E276" t="n" s="17">
        <v>0</v>
      </c>
      <c r="F276" t="n" s="17">
        <v>0</v>
      </c>
      <c r="G276" t="n" s="17">
        <v>0</v>
      </c>
      <c r="H276" t="n" s="17">
        <v>0</v>
      </c>
      <c r="I276" t="n" s="18">
        <v>0</v>
      </c>
      <c r="J276" t="n" s="17">
        <v>0</v>
      </c>
      <c r="K276" t="n" s="19">
        <v>0</v>
      </c>
    </row>
    <row r="277" hidden="0" ht="15" customHeight="1" spans="1:1">
      <c r="A277" t="str" s="16">
        <f>HYPERLINK("https://amazon.com/dp/B07M69276N", "B07M69276N")</f>
      </c>
      <c r="B277" t="s">
        <v>289</v>
      </c>
      <c r="C277" t="s">
        <v>13</v>
      </c>
      <c r="D277" t="n" s="17">
        <v>0</v>
      </c>
      <c r="E277" t="n" s="17">
        <v>79</v>
      </c>
      <c r="F277" t="n" s="17">
        <v>0</v>
      </c>
      <c r="G277" t="n" s="17">
        <v>0</v>
      </c>
      <c r="H277" t="n" s="17">
        <v>0</v>
      </c>
      <c r="I277" t="n" s="18">
        <v>0.0435</v>
      </c>
      <c r="J277" t="n" s="17">
        <v>4</v>
      </c>
      <c r="K277" t="n" s="19">
        <v>2837.2</v>
      </c>
    </row>
    <row r="278" hidden="0" ht="15" customHeight="1" spans="1:1">
      <c r="A278" t="str" s="16">
        <f>HYPERLINK("https://amazon.com/dp/B08XNLZLJ3", "B08XNLZLJ3")</f>
      </c>
      <c r="B278" t="s">
        <v>290</v>
      </c>
      <c r="C278" t="s">
        <v>13</v>
      </c>
      <c r="D278" t="n" s="17">
        <v>0</v>
      </c>
      <c r="E278" t="n" s="17">
        <v>83</v>
      </c>
      <c r="F278" t="n" s="17">
        <v>0</v>
      </c>
      <c r="G278" t="n" s="17">
        <v>0</v>
      </c>
      <c r="H278" t="n" s="17">
        <v>0</v>
      </c>
      <c r="I278" t="n" s="18">
        <v>0.0392</v>
      </c>
      <c r="J278" t="n" s="17">
        <v>6</v>
      </c>
      <c r="K278" t="n" s="19">
        <v>18994.98</v>
      </c>
    </row>
    <row r="279" hidden="0" ht="15" customHeight="1" spans="1:1">
      <c r="A279" t="str" s="16">
        <f>HYPERLINK("https://amazon.com/dp/B07449JYWK", "B07449JYWK")</f>
      </c>
      <c r="B279" t="s">
        <v>291</v>
      </c>
      <c r="C279" t="s">
        <v>13</v>
      </c>
      <c r="D279" t="n" s="17">
        <v>0</v>
      </c>
      <c r="E279" t="n" s="17">
        <v>0</v>
      </c>
      <c r="F279" t="n" s="17">
        <v>0</v>
      </c>
      <c r="G279" t="n" s="17">
        <v>0</v>
      </c>
      <c r="H279" t="n" s="17">
        <v>0</v>
      </c>
      <c r="I279" t="n" s="18">
        <v>0</v>
      </c>
      <c r="J279" t="n" s="17">
        <v>0</v>
      </c>
      <c r="K279" t="n" s="19">
        <v>0</v>
      </c>
    </row>
    <row r="280" hidden="0" ht="15" customHeight="1" spans="1:1">
      <c r="A280" t="str" s="16">
        <f>HYPERLINK("https://amazon.com/dp/B095K48F52", "B095K48F52")</f>
      </c>
      <c r="B280" t="s">
        <v>292</v>
      </c>
      <c r="C280" t="s">
        <v>13</v>
      </c>
      <c r="D280" t="n" s="17">
        <v>0</v>
      </c>
      <c r="E280" t="n" s="17">
        <v>0</v>
      </c>
      <c r="F280" t="n" s="17">
        <v>0</v>
      </c>
      <c r="G280" t="n" s="17">
        <v>0</v>
      </c>
      <c r="H280" t="n" s="17">
        <v>0</v>
      </c>
      <c r="I280" t="n" s="18">
        <v>0</v>
      </c>
      <c r="J280" t="n" s="17">
        <v>0</v>
      </c>
      <c r="K280" t="n" s="19">
        <v>0</v>
      </c>
    </row>
    <row r="281" hidden="0" ht="15" customHeight="1" spans="1:1">
      <c r="A281" t="str" s="16">
        <f>HYPERLINK("https://amazon.com/dp/B0BT9KRL8Z", "B0BT9KRL8Z")</f>
      </c>
      <c r="B281" t="s">
        <v>293</v>
      </c>
      <c r="C281" t="s">
        <v>13</v>
      </c>
      <c r="D281" t="n" s="17">
        <v>0</v>
      </c>
      <c r="E281" t="n" s="17">
        <v>0</v>
      </c>
      <c r="F281" t="n" s="17">
        <v>0</v>
      </c>
      <c r="G281" t="n" s="17">
        <v>0</v>
      </c>
      <c r="H281" t="n" s="17">
        <v>0</v>
      </c>
      <c r="I281" t="n" s="18">
        <v>0</v>
      </c>
      <c r="J281" t="n" s="17">
        <v>0</v>
      </c>
      <c r="K281" t="n" s="19">
        <v>0</v>
      </c>
    </row>
    <row r="282" hidden="0" ht="15" customHeight="1" spans="1:1">
      <c r="A282" t="str" s="16">
        <f>HYPERLINK("https://amazon.com/dp/B0DFPYQLZS", "B0DFPYQLZS")</f>
      </c>
      <c r="B282" t="s">
        <v>294</v>
      </c>
      <c r="C282" t="s">
        <v>13</v>
      </c>
      <c r="D282" t="n" s="17">
        <v>0</v>
      </c>
      <c r="E282" t="n" s="17">
        <v>0</v>
      </c>
      <c r="F282" t="n" s="17">
        <v>0</v>
      </c>
      <c r="G282" t="n" s="17">
        <v>0</v>
      </c>
      <c r="H282" t="n" s="17">
        <v>0</v>
      </c>
      <c r="I282" t="n" s="18">
        <v>0</v>
      </c>
      <c r="J282" t="n" s="17">
        <v>0</v>
      </c>
      <c r="K282" t="n" s="19">
        <v>0</v>
      </c>
    </row>
    <row r="283" hidden="0" ht="15" customHeight="1" spans="1:1">
      <c r="A283" t="str" s="16">
        <f>HYPERLINK("https://amazon.com/dp/B0971J5FM9", "B0971J5FM9")</f>
      </c>
      <c r="B283" t="s">
        <v>295</v>
      </c>
      <c r="C283" t="s">
        <v>13</v>
      </c>
      <c r="D283" t="n" s="17">
        <v>0</v>
      </c>
      <c r="E283" t="n" s="17">
        <v>0</v>
      </c>
      <c r="F283" t="n" s="17">
        <v>0</v>
      </c>
      <c r="G283" t="n" s="17">
        <v>0</v>
      </c>
      <c r="H283" t="n" s="17">
        <v>0</v>
      </c>
      <c r="I283" t="n" s="18">
        <v>0</v>
      </c>
      <c r="J283" t="n" s="17">
        <v>0</v>
      </c>
      <c r="K283" t="n" s="19">
        <v>0</v>
      </c>
    </row>
    <row r="284" hidden="0" ht="15" customHeight="1" spans="1:1">
      <c r="A284" t="str" s="16">
        <f>HYPERLINK("https://amazon.com/dp/B00K11UIV4", "B00K11UIV4")</f>
      </c>
      <c r="B284" t="s">
        <v>296</v>
      </c>
      <c r="C284" t="s">
        <v>13</v>
      </c>
      <c r="D284" t="n" s="17">
        <v>0</v>
      </c>
      <c r="E284" t="n" s="17">
        <v>125</v>
      </c>
      <c r="F284" t="n" s="17">
        <v>0</v>
      </c>
      <c r="G284" t="n" s="17">
        <v>0</v>
      </c>
      <c r="H284" t="n" s="17">
        <v>0</v>
      </c>
      <c r="I284" t="n" s="18">
        <v>0.064</v>
      </c>
      <c r="J284" t="n" s="17">
        <v>8</v>
      </c>
      <c r="K284" t="n" s="19">
        <v>4033.36</v>
      </c>
    </row>
    <row r="285" hidden="0" ht="15" customHeight="1" spans="1:1">
      <c r="A285" t="str" s="16">
        <f>HYPERLINK("https://amazon.com/dp/B07R48S6MB", "B07R48S6MB")</f>
      </c>
      <c r="B285" t="s">
        <v>297</v>
      </c>
      <c r="C285" t="s">
        <v>13</v>
      </c>
      <c r="D285" t="n" s="17">
        <v>0</v>
      </c>
      <c r="E285" t="n" s="17">
        <v>4</v>
      </c>
      <c r="F285" t="n" s="17">
        <v>0</v>
      </c>
      <c r="G285" t="n" s="17">
        <v>0</v>
      </c>
      <c r="H285" t="n" s="17">
        <v>0</v>
      </c>
      <c r="I285" t="n" s="18">
        <v>0</v>
      </c>
      <c r="J285" t="n" s="17">
        <v>0</v>
      </c>
      <c r="K285" t="n" s="19">
        <v>0</v>
      </c>
    </row>
    <row r="286" hidden="0" ht="15" customHeight="1" spans="1:1">
      <c r="A286" t="str" s="16">
        <f>HYPERLINK("https://amazon.com/dp/B07KJ2TDMR", "B07KJ2TDMR")</f>
      </c>
      <c r="B286" t="s">
        <v>298</v>
      </c>
      <c r="C286" t="s">
        <v>13</v>
      </c>
      <c r="D286" t="n" s="17">
        <v>0</v>
      </c>
      <c r="E286" t="n" s="17">
        <v>438</v>
      </c>
      <c r="F286" t="n" s="17">
        <v>0</v>
      </c>
      <c r="G286" t="n" s="17">
        <v>0</v>
      </c>
      <c r="H286" t="n" s="17">
        <v>0</v>
      </c>
      <c r="I286" t="n" s="18">
        <v>0.0317</v>
      </c>
      <c r="J286" t="n" s="17">
        <v>14</v>
      </c>
      <c r="K286" t="n" s="19">
        <v>44891.73</v>
      </c>
    </row>
    <row r="287" hidden="0" ht="15" customHeight="1" spans="1:1">
      <c r="A287" t="str" s="16">
        <f>HYPERLINK("https://amazon.com/dp/B087ML9XMX", "B087ML9XMX")</f>
      </c>
      <c r="B287" t="s">
        <v>299</v>
      </c>
      <c r="C287" t="s">
        <v>13</v>
      </c>
      <c r="D287" t="n" s="17">
        <v>0</v>
      </c>
      <c r="E287" t="n" s="17">
        <v>79</v>
      </c>
      <c r="F287" t="n" s="17">
        <v>0</v>
      </c>
      <c r="G287" t="n" s="17">
        <v>0</v>
      </c>
      <c r="H287" t="n" s="17">
        <v>0</v>
      </c>
      <c r="I287" t="n" s="18">
        <v>0.0581</v>
      </c>
      <c r="J287" t="n" s="17">
        <v>5</v>
      </c>
      <c r="K287" t="n" s="19">
        <v>7195.5</v>
      </c>
    </row>
    <row r="288" hidden="0" ht="15" customHeight="1" spans="1:1">
      <c r="A288" t="str" s="16">
        <f>HYPERLINK("https://amazon.com/dp/B0DJH4JYSM", "B0DJH4JYSM")</f>
      </c>
      <c r="B288" t="s">
        <v>300</v>
      </c>
      <c r="C288" t="s">
        <v>13</v>
      </c>
      <c r="D288" t="n" s="17">
        <v>0</v>
      </c>
      <c r="E288" t="n" s="17">
        <v>3</v>
      </c>
      <c r="F288" t="n" s="17">
        <v>0</v>
      </c>
      <c r="G288" t="n" s="17">
        <v>0</v>
      </c>
      <c r="H288" t="n" s="17">
        <v>0</v>
      </c>
      <c r="I288" t="n" s="18">
        <v>0.0333</v>
      </c>
      <c r="J288" t="n" s="17">
        <v>1</v>
      </c>
      <c r="K288" t="n" s="19">
        <v>6732.15</v>
      </c>
    </row>
    <row r="289" hidden="0" ht="15" customHeight="1" spans="1:1">
      <c r="A289" t="str" s="16">
        <f>HYPERLINK("https://amazon.com/dp/B00TQEX8BO", "B00TQEX8BO")</f>
      </c>
      <c r="B289" t="s">
        <v>301</v>
      </c>
      <c r="C289" t="s">
        <v>13</v>
      </c>
      <c r="D289" t="n" s="17">
        <v>0</v>
      </c>
      <c r="E289" t="n" s="17">
        <v>0</v>
      </c>
      <c r="F289" t="n" s="17">
        <v>0</v>
      </c>
      <c r="G289" t="n" s="17">
        <v>0</v>
      </c>
      <c r="H289" t="n" s="17">
        <v>0</v>
      </c>
      <c r="I289" t="n" s="18">
        <v>0</v>
      </c>
      <c r="J289" t="n" s="17">
        <v>0</v>
      </c>
      <c r="K289" t="n" s="19">
        <v>0</v>
      </c>
    </row>
    <row r="290" hidden="0" ht="15" customHeight="1" spans="1:1">
      <c r="A290" t="str" s="16">
        <f>HYPERLINK("https://amazon.com/dp/B00YU23DI0", "B00YU23DI0")</f>
      </c>
      <c r="B290" t="s">
        <v>302</v>
      </c>
      <c r="C290" t="s">
        <v>13</v>
      </c>
      <c r="D290" t="n" s="17">
        <v>0</v>
      </c>
      <c r="E290" t="n" s="17">
        <v>38</v>
      </c>
      <c r="F290" t="n" s="17">
        <v>0</v>
      </c>
      <c r="G290" t="n" s="17">
        <v>0</v>
      </c>
      <c r="H290" t="n" s="17">
        <v>0</v>
      </c>
      <c r="I290" t="n" s="18">
        <v>0</v>
      </c>
      <c r="J290" t="n" s="17">
        <v>0</v>
      </c>
      <c r="K290" t="n" s="19">
        <v>0</v>
      </c>
    </row>
    <row r="291" hidden="0" ht="15" customHeight="1" spans="1:1">
      <c r="A291" t="str" s="16">
        <f>HYPERLINK("https://amazon.com/dp/B07JQ7157K", "B07JQ7157K")</f>
      </c>
      <c r="B291" t="s">
        <v>303</v>
      </c>
      <c r="C291" t="s">
        <v>13</v>
      </c>
      <c r="D291" t="n" s="17">
        <v>0</v>
      </c>
      <c r="E291" t="n" s="17">
        <v>0</v>
      </c>
      <c r="F291" t="n" s="17">
        <v>0</v>
      </c>
      <c r="G291" t="n" s="17">
        <v>0</v>
      </c>
      <c r="H291" t="n" s="17">
        <v>0</v>
      </c>
      <c r="I291" t="n" s="18">
        <v>0</v>
      </c>
      <c r="J291" t="n" s="17">
        <v>0</v>
      </c>
      <c r="K291" t="n" s="19">
        <v>0</v>
      </c>
    </row>
    <row r="292" hidden="0" ht="15" customHeight="1" spans="1:1">
      <c r="A292" t="str" s="16">
        <f>HYPERLINK("https://amazon.com/dp/B0FC2MCT55", "B0FC2MCT55")</f>
      </c>
      <c r="B292" t="s">
        <v>304</v>
      </c>
      <c r="C292" t="s">
        <v>29</v>
      </c>
      <c r="D292" t="n" s="17">
        <v>0</v>
      </c>
      <c r="E292" t="n" s="17">
        <v>35</v>
      </c>
      <c r="F292" t="n" s="17">
        <v>0</v>
      </c>
      <c r="G292" t="n" s="17">
        <v>0</v>
      </c>
      <c r="H292" t="n" s="17">
        <v>0</v>
      </c>
      <c r="I292" t="n" s="18">
        <v>0.0541</v>
      </c>
      <c r="J292" t="n" s="17">
        <v>2</v>
      </c>
      <c r="K292" t="n" s="19">
        <v>6530.06</v>
      </c>
    </row>
    <row r="293" hidden="0" ht="15" customHeight="1" spans="1:1">
      <c r="A293" t="str" s="16">
        <f>HYPERLINK("https://amazon.com/dp/B006BSPTAQ", "B006BSPTAQ")</f>
      </c>
      <c r="B293" t="s">
        <v>305</v>
      </c>
      <c r="C293" t="s">
        <v>13</v>
      </c>
      <c r="D293" t="n" s="17">
        <v>0</v>
      </c>
      <c r="E293" t="n" s="17">
        <v>20</v>
      </c>
      <c r="F293" t="n" s="17">
        <v>0</v>
      </c>
      <c r="G293" t="n" s="17">
        <v>0</v>
      </c>
      <c r="H293" t="n" s="17">
        <v>0</v>
      </c>
      <c r="I293" t="n" s="18">
        <v>0</v>
      </c>
      <c r="J293" t="n" s="17">
        <v>0</v>
      </c>
      <c r="K293" t="n" s="19">
        <v>0</v>
      </c>
    </row>
    <row r="294" hidden="0" ht="15" customHeight="1" spans="1:1">
      <c r="A294" t="str" s="16">
        <f>HYPERLINK("https://amazon.com/dp/B0C6JYLR1W", "B0C6JYLR1W")</f>
      </c>
      <c r="B294" t="s">
        <v>306</v>
      </c>
      <c r="C294" t="s">
        <v>16</v>
      </c>
      <c r="D294" t="n" s="17">
        <v>0</v>
      </c>
      <c r="E294" t="n" s="17">
        <v>0</v>
      </c>
      <c r="F294" t="n" s="17">
        <v>0</v>
      </c>
      <c r="G294" t="n" s="17">
        <v>0</v>
      </c>
      <c r="H294" t="n" s="17">
        <v>0</v>
      </c>
      <c r="I294" t="n" s="18">
        <v>0</v>
      </c>
      <c r="J294" t="n" s="17">
        <v>0</v>
      </c>
      <c r="K294" t="n" s="19">
        <v>0</v>
      </c>
    </row>
    <row r="295" hidden="0" ht="15" customHeight="1" spans="1:1">
      <c r="A295" t="str" s="16">
        <f>HYPERLINK("https://amazon.com/dp/B0BNYSVV3J", "B0BNYSVV3J")</f>
      </c>
      <c r="B295" t="s">
        <v>307</v>
      </c>
      <c r="C295" t="s">
        <v>16</v>
      </c>
      <c r="D295" t="n" s="17">
        <v>0</v>
      </c>
      <c r="E295" t="n" s="17">
        <v>0</v>
      </c>
      <c r="F295" t="n" s="17">
        <v>0</v>
      </c>
      <c r="G295" t="n" s="17">
        <v>0</v>
      </c>
      <c r="H295" t="n" s="17">
        <v>0</v>
      </c>
      <c r="I295" t="n" s="18">
        <v>0</v>
      </c>
      <c r="J295" t="n" s="17">
        <v>0</v>
      </c>
      <c r="K295" t="n" s="19">
        <v>0</v>
      </c>
    </row>
    <row r="296" hidden="0" ht="15" customHeight="1" spans="1:1">
      <c r="A296" t="str" s="16">
        <f>HYPERLINK("https://amazon.com/dp/B00YMTI6WO", "B00YMTI6WO")</f>
      </c>
      <c r="B296" t="s">
        <v>308</v>
      </c>
      <c r="C296" t="s">
        <v>13</v>
      </c>
      <c r="D296" t="n" s="17">
        <v>0</v>
      </c>
      <c r="E296" t="n" s="17">
        <v>30</v>
      </c>
      <c r="F296" t="n" s="17">
        <v>0</v>
      </c>
      <c r="G296" t="n" s="17">
        <v>0</v>
      </c>
      <c r="H296" t="n" s="17">
        <v>0</v>
      </c>
      <c r="I296" t="n" s="18">
        <v>0.0588</v>
      </c>
      <c r="J296" t="n" s="17">
        <v>2</v>
      </c>
      <c r="K296" t="n" s="19">
        <v>1464.74</v>
      </c>
    </row>
    <row r="297" hidden="0" ht="15" customHeight="1" spans="1:1">
      <c r="A297" t="str" s="16">
        <f>HYPERLINK("https://amazon.com/dp/B0B5PLZV5B", "B0B5PLZV5B")</f>
      </c>
      <c r="B297" t="s">
        <v>309</v>
      </c>
      <c r="C297" t="s">
        <v>16</v>
      </c>
      <c r="D297" t="n" s="17">
        <v>0</v>
      </c>
      <c r="E297" t="n" s="17">
        <v>331</v>
      </c>
      <c r="F297" t="n" s="17">
        <v>0</v>
      </c>
      <c r="G297" t="n" s="17">
        <v>0</v>
      </c>
      <c r="H297" t="n" s="17">
        <v>0</v>
      </c>
      <c r="I297" t="n" s="18">
        <v>0</v>
      </c>
      <c r="J297" t="n" s="17">
        <v>0</v>
      </c>
      <c r="K297" t="n" s="19">
        <v>0</v>
      </c>
    </row>
    <row r="298" hidden="0" ht="15" customHeight="1" spans="1:1">
      <c r="A298" t="str" s="16">
        <f>HYPERLINK("https://amazon.com/dp/B0CZPVXS75", "B0CZPVXS75")</f>
      </c>
      <c r="B298" t="s">
        <v>310</v>
      </c>
      <c r="C298" t="s">
        <v>29</v>
      </c>
      <c r="D298" t="n" s="17">
        <v>0</v>
      </c>
      <c r="E298" t="n" s="17">
        <v>115</v>
      </c>
      <c r="F298" t="n" s="17">
        <v>0</v>
      </c>
      <c r="G298" t="n" s="17">
        <v>0</v>
      </c>
      <c r="H298" t="n" s="17">
        <v>0</v>
      </c>
      <c r="I298" t="n" s="18">
        <v>0.0165</v>
      </c>
      <c r="J298" t="n" s="17">
        <v>2</v>
      </c>
      <c r="K298" t="n" s="19">
        <v>1305.94</v>
      </c>
    </row>
    <row r="299" hidden="0" ht="15" customHeight="1" spans="1:1">
      <c r="A299" t="str" s="16">
        <f>HYPERLINK("https://amazon.com/dp/B0GWHHFQMT", "B0GWHHFQMT")</f>
      </c>
      <c r="B299" t="s">
        <v>311</v>
      </c>
      <c r="C299" t="s">
        <v>29</v>
      </c>
      <c r="D299" t="n" s="17">
        <v>0</v>
      </c>
      <c r="E299" t="n" s="17">
        <v>0</v>
      </c>
      <c r="F299" t="n" s="17">
        <v>0</v>
      </c>
      <c r="G299" t="n" s="17">
        <v>0</v>
      </c>
      <c r="H299" t="n" s="17">
        <v>0</v>
      </c>
      <c r="I299" t="n" s="18">
        <v>0</v>
      </c>
      <c r="J299" t="n" s="17">
        <v>0</v>
      </c>
      <c r="K299" t="n" s="19">
        <v>0</v>
      </c>
    </row>
    <row r="300" hidden="0" ht="15" customHeight="1" spans="1:1">
      <c r="A300" t="str" s="16">
        <f>HYPERLINK("https://amazon.com/dp/B0BXH28CND", "B0BXH28CND")</f>
      </c>
      <c r="B300" t="s">
        <v>312</v>
      </c>
      <c r="C300" t="s">
        <v>13</v>
      </c>
      <c r="D300" t="n" s="17">
        <v>0</v>
      </c>
      <c r="E300" t="n" s="17">
        <v>27</v>
      </c>
      <c r="F300" t="n" s="17">
        <v>0</v>
      </c>
      <c r="G300" t="n" s="17">
        <v>0</v>
      </c>
      <c r="H300" t="n" s="17">
        <v>0</v>
      </c>
      <c r="I300" t="n" s="18">
        <v>0.030600000000000002</v>
      </c>
      <c r="J300" t="n" s="17">
        <v>3</v>
      </c>
      <c r="K300" t="n" s="19">
        <v>3622.5</v>
      </c>
    </row>
    <row r="301" hidden="0" ht="15" customHeight="1" spans="1:1">
      <c r="A301" t="str" s="16">
        <f>HYPERLINK("https://amazon.com/dp/B07GVQX7P8", "B07GVQX7P8")</f>
      </c>
      <c r="B301" t="s">
        <v>313</v>
      </c>
      <c r="C301" t="s">
        <v>13</v>
      </c>
      <c r="D301" t="n" s="17">
        <v>0</v>
      </c>
      <c r="E301" t="n" s="17">
        <v>0</v>
      </c>
      <c r="F301" t="n" s="17">
        <v>0</v>
      </c>
      <c r="G301" t="n" s="17">
        <v>0</v>
      </c>
      <c r="H301" t="n" s="17">
        <v>0</v>
      </c>
      <c r="I301" t="n" s="18">
        <v>0</v>
      </c>
      <c r="J301" t="n" s="17">
        <v>0</v>
      </c>
      <c r="K301" t="n" s="19">
        <v>0</v>
      </c>
    </row>
    <row r="302" hidden="0" ht="15" customHeight="1" spans="1:1">
      <c r="A302" t="str" s="16">
        <f>HYPERLINK("https://amazon.com/dp/B0CG9MBCYR", "B0CG9MBCYR")</f>
      </c>
      <c r="B302" t="s">
        <v>314</v>
      </c>
      <c r="C302" t="s">
        <v>16</v>
      </c>
      <c r="D302" t="n" s="17">
        <v>0</v>
      </c>
      <c r="E302" t="n" s="17">
        <v>0</v>
      </c>
      <c r="F302" t="n" s="17">
        <v>0</v>
      </c>
      <c r="G302" t="n" s="17">
        <v>0</v>
      </c>
      <c r="H302" t="n" s="17">
        <v>0</v>
      </c>
      <c r="I302" t="n" s="18">
        <v>0</v>
      </c>
      <c r="J302" t="n" s="17">
        <v>0</v>
      </c>
      <c r="K302" t="n" s="19">
        <v>0</v>
      </c>
    </row>
    <row r="303" hidden="0" ht="15" customHeight="1" spans="1:1">
      <c r="A303" t="str" s="16">
        <f>HYPERLINK("https://amazon.com/dp/B09SPN9B32", "B09SPN9B32")</f>
      </c>
      <c r="B303" t="s">
        <v>315</v>
      </c>
      <c r="C303" t="s">
        <v>13</v>
      </c>
      <c r="D303" t="n" s="17">
        <v>0</v>
      </c>
      <c r="E303" t="n" s="17">
        <v>0</v>
      </c>
      <c r="F303" t="n" s="17">
        <v>0</v>
      </c>
      <c r="G303" t="n" s="17">
        <v>0</v>
      </c>
      <c r="H303" t="n" s="17">
        <v>0</v>
      </c>
      <c r="I303" t="n" s="18">
        <v>0</v>
      </c>
      <c r="J303" t="n" s="17">
        <v>0</v>
      </c>
      <c r="K303" t="n" s="19">
        <v>0</v>
      </c>
    </row>
    <row r="304" hidden="0" ht="15" customHeight="1" spans="1:1">
      <c r="A304" t="str" s="16">
        <f>HYPERLINK("https://amazon.com/dp/B00634PLTW", "B00634PLTW")</f>
      </c>
      <c r="B304" t="s">
        <v>316</v>
      </c>
      <c r="C304" t="s">
        <v>13</v>
      </c>
      <c r="D304" t="n" s="17">
        <v>0</v>
      </c>
      <c r="E304" t="n" s="17">
        <v>83</v>
      </c>
      <c r="F304" t="n" s="17">
        <v>0</v>
      </c>
      <c r="G304" t="n" s="17">
        <v>0</v>
      </c>
      <c r="H304" t="n" s="17">
        <v>0</v>
      </c>
      <c r="I304" t="n" s="18">
        <v>0</v>
      </c>
      <c r="J304" t="n" s="17">
        <v>0</v>
      </c>
      <c r="K304" t="n" s="19">
        <v>0</v>
      </c>
    </row>
    <row r="305" hidden="0" ht="15" customHeight="1" spans="1:1">
      <c r="A305" t="str" s="16">
        <f>HYPERLINK("https://amazon.com/dp/B0BHW6BX7Y", "B0BHW6BX7Y")</f>
      </c>
      <c r="B305" t="s">
        <v>317</v>
      </c>
      <c r="C305" t="s">
        <v>13</v>
      </c>
      <c r="D305" t="n" s="17">
        <v>0</v>
      </c>
      <c r="E305" t="n" s="17">
        <v>109</v>
      </c>
      <c r="F305" t="n" s="17">
        <v>0</v>
      </c>
      <c r="G305" t="n" s="17">
        <v>0</v>
      </c>
      <c r="H305" t="n" s="17">
        <v>0</v>
      </c>
      <c r="I305" t="n" s="18">
        <v>0.0263</v>
      </c>
      <c r="J305" t="n" s="17">
        <v>3</v>
      </c>
      <c r="K305" t="n" s="19">
        <v>2664.16</v>
      </c>
    </row>
    <row r="306" hidden="0" ht="15" customHeight="1" spans="1:1">
      <c r="A306" t="str" s="16">
        <f>HYPERLINK("https://amazon.com/dp/B0DJFPX6BW", "B0DJFPX6BW")</f>
      </c>
      <c r="B306" t="s">
        <v>318</v>
      </c>
      <c r="C306" t="s">
        <v>13</v>
      </c>
      <c r="D306" t="n" s="17">
        <v>0</v>
      </c>
      <c r="E306" t="n" s="17">
        <v>371</v>
      </c>
      <c r="F306" t="n" s="17">
        <v>0</v>
      </c>
      <c r="G306" t="n" s="17">
        <v>0</v>
      </c>
      <c r="H306" t="n" s="17">
        <v>0</v>
      </c>
      <c r="I306" t="n" s="18">
        <v>0.0184</v>
      </c>
      <c r="J306" t="n" s="17">
        <v>7</v>
      </c>
      <c r="K306" t="n" s="19">
        <v>37426.2</v>
      </c>
    </row>
    <row r="307" hidden="0" ht="15" customHeight="1" spans="1:1">
      <c r="A307" t="str" s="16">
        <f>HYPERLINK("https://amazon.com/dp/B09QFZSB7M", "B09QFZSB7M")</f>
      </c>
      <c r="B307" t="s">
        <v>319</v>
      </c>
      <c r="C307" t="s">
        <v>13</v>
      </c>
      <c r="D307" t="n" s="17">
        <v>0</v>
      </c>
      <c r="E307" t="n" s="17">
        <v>18</v>
      </c>
      <c r="F307" t="n" s="17">
        <v>0</v>
      </c>
      <c r="G307" t="n" s="17">
        <v>0</v>
      </c>
      <c r="H307" t="n" s="17">
        <v>0</v>
      </c>
      <c r="I307" t="n" s="18">
        <v>0.0556</v>
      </c>
      <c r="J307" t="n" s="17">
        <v>1</v>
      </c>
      <c r="K307" t="n" s="19">
        <v>1028.33</v>
      </c>
    </row>
    <row r="308" hidden="0" ht="15" customHeight="1" spans="1:1">
      <c r="A308" t="str" s="16">
        <f>HYPERLINK("https://amazon.com/dp/B00LI4O9EA", "B00LI4O9EA")</f>
      </c>
      <c r="B308" t="s">
        <v>320</v>
      </c>
      <c r="C308" t="s">
        <v>13</v>
      </c>
      <c r="D308" t="n" s="17">
        <v>0</v>
      </c>
      <c r="E308" t="n" s="17">
        <v>0</v>
      </c>
      <c r="F308" t="n" s="17">
        <v>0</v>
      </c>
      <c r="G308" t="n" s="17">
        <v>0</v>
      </c>
      <c r="H308" t="n" s="17">
        <v>0</v>
      </c>
      <c r="I308" t="n" s="18">
        <v>0</v>
      </c>
      <c r="J308" t="n" s="17">
        <v>0</v>
      </c>
      <c r="K308" t="n" s="19">
        <v>0</v>
      </c>
    </row>
    <row r="309" hidden="0" ht="15" customHeight="1" spans="1:1">
      <c r="A309" t="str" s="16">
        <f>HYPERLINK("https://amazon.com/dp/B00JKB63D8", "B00JKB63D8")</f>
      </c>
      <c r="B309" t="s">
        <v>321</v>
      </c>
      <c r="C309" t="s">
        <v>13</v>
      </c>
      <c r="D309" t="n" s="17">
        <v>0</v>
      </c>
      <c r="E309" t="n" s="17">
        <v>142</v>
      </c>
      <c r="F309" t="n" s="17">
        <v>0</v>
      </c>
      <c r="G309" t="n" s="17">
        <v>0</v>
      </c>
      <c r="H309" t="n" s="17">
        <v>0</v>
      </c>
      <c r="I309" t="n" s="18">
        <v>0.0986</v>
      </c>
      <c r="J309" t="n" s="17">
        <v>14</v>
      </c>
      <c r="K309" t="n" s="19">
        <v>14738.44</v>
      </c>
    </row>
    <row r="310" hidden="0" ht="15" customHeight="1" spans="1:1">
      <c r="A310" t="str" s="16">
        <f>HYPERLINK("https://amazon.com/dp/B0873T3387", "B0873T3387")</f>
      </c>
      <c r="B310" t="s">
        <v>322</v>
      </c>
      <c r="C310" t="s">
        <v>29</v>
      </c>
      <c r="D310" t="n" s="17">
        <v>0</v>
      </c>
      <c r="E310" t="n" s="17">
        <v>0</v>
      </c>
      <c r="F310" t="n" s="17">
        <v>0</v>
      </c>
      <c r="G310" t="n" s="17">
        <v>0</v>
      </c>
      <c r="H310" t="n" s="17">
        <v>0</v>
      </c>
      <c r="I310" t="n" s="18">
        <v>0</v>
      </c>
      <c r="J310" t="n" s="17">
        <v>0</v>
      </c>
      <c r="K310" t="n" s="19">
        <v>0</v>
      </c>
    </row>
    <row r="311" hidden="0" ht="15" customHeight="1" spans="1:1">
      <c r="A311" t="str" s="16">
        <f>HYPERLINK("https://amazon.com/dp/B0DCZWQQW8", "B0DCZWQQW8")</f>
      </c>
      <c r="B311" t="s">
        <v>323</v>
      </c>
      <c r="C311" t="s">
        <v>13</v>
      </c>
      <c r="D311" t="n" s="17">
        <v>0</v>
      </c>
      <c r="E311" t="n" s="17">
        <v>103</v>
      </c>
      <c r="F311" t="n" s="17">
        <v>0</v>
      </c>
      <c r="G311" t="n" s="17">
        <v>0</v>
      </c>
      <c r="H311" t="n" s="17">
        <v>0</v>
      </c>
      <c r="I311" t="n" s="18">
        <v>0.0095</v>
      </c>
      <c r="J311" t="n" s="17">
        <v>1</v>
      </c>
      <c r="K311" t="n" s="19">
        <v>4166.7</v>
      </c>
    </row>
    <row r="312" hidden="0" ht="15" customHeight="1" spans="1:1">
      <c r="A312" t="str" s="16">
        <f>HYPERLINK("https://amazon.com/dp/B01MT4T8TN", "B01MT4T8TN")</f>
      </c>
      <c r="B312" t="s">
        <v>324</v>
      </c>
      <c r="C312" t="s">
        <v>13</v>
      </c>
      <c r="D312" t="n" s="17">
        <v>0</v>
      </c>
      <c r="E312" t="n" s="17">
        <v>0</v>
      </c>
      <c r="F312" t="n" s="17">
        <v>0</v>
      </c>
      <c r="G312" t="n" s="17">
        <v>0</v>
      </c>
      <c r="H312" t="n" s="17">
        <v>0</v>
      </c>
      <c r="I312" t="n" s="18">
        <v>0</v>
      </c>
      <c r="J312" t="n" s="17">
        <v>0</v>
      </c>
      <c r="K312" t="n" s="19">
        <v>0</v>
      </c>
    </row>
    <row r="313" hidden="0" ht="15" customHeight="1" spans="1:1">
      <c r="A313" t="str" s="16">
        <f>HYPERLINK("https://amazon.com/dp/9800359850", "9800359850")</f>
      </c>
      <c r="B313" t="s">
        <v>325</v>
      </c>
      <c r="C313" t="s">
        <v>13</v>
      </c>
      <c r="D313" t="n" s="17">
        <v>0</v>
      </c>
      <c r="E313" t="n" s="17">
        <v>105</v>
      </c>
      <c r="F313" t="n" s="17">
        <v>0</v>
      </c>
      <c r="G313" t="n" s="17">
        <v>0</v>
      </c>
      <c r="H313" t="n" s="17">
        <v>0</v>
      </c>
      <c r="I313" t="n" s="18">
        <v>0.0381</v>
      </c>
      <c r="J313" t="n" s="17">
        <v>4</v>
      </c>
      <c r="K313" t="n" s="19">
        <v>1889.32</v>
      </c>
    </row>
    <row r="314" hidden="0" ht="15" customHeight="1" spans="1:1">
      <c r="A314" t="str" s="16">
        <f>HYPERLINK("https://amazon.com/dp/B08R3ZHF7M", "B08R3ZHF7M")</f>
      </c>
      <c r="B314" t="s">
        <v>326</v>
      </c>
      <c r="C314" t="s">
        <v>13</v>
      </c>
      <c r="D314" t="n" s="17">
        <v>0</v>
      </c>
      <c r="E314" t="n" s="17">
        <v>10</v>
      </c>
      <c r="F314" t="n" s="17">
        <v>0</v>
      </c>
      <c r="G314" t="n" s="17">
        <v>0</v>
      </c>
      <c r="H314" t="n" s="17">
        <v>0</v>
      </c>
      <c r="I314" t="n" s="18">
        <v>0</v>
      </c>
      <c r="J314" t="n" s="17">
        <v>0</v>
      </c>
      <c r="K314" t="n" s="19">
        <v>0</v>
      </c>
    </row>
    <row r="315" hidden="0" ht="15" customHeight="1" spans="1:1">
      <c r="A315" t="str" s="16">
        <f>HYPERLINK("https://amazon.com/dp/B08P7Q2KGQ", "B08P7Q2KGQ")</f>
      </c>
      <c r="B315" t="s">
        <v>327</v>
      </c>
      <c r="C315" t="s">
        <v>13</v>
      </c>
      <c r="D315" t="n" s="17">
        <v>0</v>
      </c>
      <c r="E315" t="n" s="17">
        <v>0</v>
      </c>
      <c r="F315" t="n" s="17">
        <v>0</v>
      </c>
      <c r="G315" t="n" s="17">
        <v>0</v>
      </c>
      <c r="H315" t="n" s="17">
        <v>0</v>
      </c>
      <c r="I315" t="n" s="18">
        <v>0</v>
      </c>
      <c r="J315" t="n" s="17">
        <v>0</v>
      </c>
      <c r="K315" t="n" s="19">
        <v>0</v>
      </c>
    </row>
    <row r="316" hidden="0" ht="15" customHeight="1" spans="1:1">
      <c r="A316" t="str" s="16">
        <f>HYPERLINK("https://amazon.com/dp/B077PZLGVB", "B077PZLGVB")</f>
      </c>
      <c r="B316" t="s">
        <v>328</v>
      </c>
      <c r="C316" t="s">
        <v>13</v>
      </c>
      <c r="D316" t="n" s="17">
        <v>0</v>
      </c>
      <c r="E316" t="n" s="17">
        <v>924</v>
      </c>
      <c r="F316" t="n" s="17">
        <v>0</v>
      </c>
      <c r="G316" t="n" s="17">
        <v>0</v>
      </c>
      <c r="H316" t="n" s="17">
        <v>0</v>
      </c>
      <c r="I316" t="n" s="18">
        <v>0.013300000000000001</v>
      </c>
      <c r="J316" t="n" s="17">
        <v>34</v>
      </c>
      <c r="K316" t="n" s="19">
        <v>49417.38</v>
      </c>
    </row>
    <row r="317" hidden="0" ht="15" customHeight="1" spans="1:1">
      <c r="A317" t="str" s="16">
        <f>HYPERLINK("https://amazon.com/dp/B0D4LL6VJW", "B0D4LL6VJW")</f>
      </c>
      <c r="B317" t="s">
        <v>329</v>
      </c>
      <c r="C317" t="s">
        <v>29</v>
      </c>
      <c r="D317" t="n" s="17">
        <v>0</v>
      </c>
      <c r="E317" t="n" s="17">
        <v>33</v>
      </c>
      <c r="F317" t="n" s="17">
        <v>0</v>
      </c>
      <c r="G317" t="n" s="17">
        <v>0</v>
      </c>
      <c r="H317" t="n" s="17">
        <v>0</v>
      </c>
      <c r="I317" t="n" s="18">
        <v>0.0256</v>
      </c>
      <c r="J317" t="n" s="17">
        <v>1</v>
      </c>
      <c r="K317" t="n" s="19">
        <v>2223.7</v>
      </c>
    </row>
    <row r="318" hidden="0" ht="15" customHeight="1" spans="1:1">
      <c r="A318" t="str" s="16">
        <f>HYPERLINK("https://amazon.com/dp/B0GLRL6H6Y", "B0GLRL6H6Y")</f>
      </c>
      <c r="B318" t="s">
        <v>330</v>
      </c>
      <c r="C318" t="s">
        <v>13</v>
      </c>
      <c r="D318" t="n" s="17">
        <v>0</v>
      </c>
      <c r="E318" t="n" s="17">
        <v>3</v>
      </c>
      <c r="F318" t="n" s="17">
        <v>0</v>
      </c>
      <c r="G318" t="n" s="17">
        <v>0</v>
      </c>
      <c r="H318" t="n" s="17">
        <v>0</v>
      </c>
      <c r="I318" t="n" s="18">
        <v>0</v>
      </c>
      <c r="J318" t="n" s="17">
        <v>0</v>
      </c>
      <c r="K318" t="n" s="19">
        <v>0</v>
      </c>
    </row>
    <row r="319" hidden="0" ht="15" customHeight="1" spans="1:1">
      <c r="A319" t="str" s="16">
        <f>HYPERLINK("https://amazon.com/dp/B06WWFLS77", "B06WWFLS77")</f>
      </c>
      <c r="B319" t="s">
        <v>331</v>
      </c>
      <c r="C319" t="s">
        <v>29</v>
      </c>
      <c r="D319" t="n" s="17">
        <v>0</v>
      </c>
      <c r="E319" t="n" s="17">
        <v>0</v>
      </c>
      <c r="F319" t="n" s="17">
        <v>0</v>
      </c>
      <c r="G319" t="n" s="17">
        <v>0</v>
      </c>
      <c r="H319" t="n" s="17">
        <v>0</v>
      </c>
      <c r="I319" t="n" s="18">
        <v>0</v>
      </c>
      <c r="J319" t="n" s="17">
        <v>0</v>
      </c>
      <c r="K319" t="n" s="19">
        <v>0</v>
      </c>
    </row>
    <row r="320" hidden="0" ht="15" customHeight="1" spans="1:1">
      <c r="A320" t="str" s="16">
        <f>HYPERLINK("https://amazon.com/dp/B0BJNY3BXW", "B0BJNY3BXW")</f>
      </c>
      <c r="B320" t="s">
        <v>332</v>
      </c>
      <c r="C320" t="s">
        <v>13</v>
      </c>
      <c r="D320" t="n" s="17">
        <v>0</v>
      </c>
      <c r="E320" t="n" s="17">
        <v>0</v>
      </c>
      <c r="F320" t="n" s="17">
        <v>0</v>
      </c>
      <c r="G320" t="n" s="17">
        <v>0</v>
      </c>
      <c r="H320" t="n" s="17">
        <v>0</v>
      </c>
      <c r="I320" t="n" s="18">
        <v>0</v>
      </c>
      <c r="J320" t="n" s="17">
        <v>0</v>
      </c>
      <c r="K320" t="n" s="19">
        <v>0</v>
      </c>
    </row>
    <row r="321" hidden="0" ht="15" customHeight="1" spans="1:1">
      <c r="A321" t="str" s="16">
        <f>HYPERLINK("https://amazon.com/dp/B0BD5SHSFK", "B0BD5SHSFK")</f>
      </c>
      <c r="B321" t="s">
        <v>333</v>
      </c>
      <c r="C321" t="s">
        <v>13</v>
      </c>
      <c r="D321" t="n" s="17">
        <v>0</v>
      </c>
      <c r="E321" t="n" s="17">
        <v>0</v>
      </c>
      <c r="F321" t="n" s="17">
        <v>0</v>
      </c>
      <c r="G321" t="n" s="17">
        <v>0</v>
      </c>
      <c r="H321" t="n" s="17">
        <v>0</v>
      </c>
      <c r="I321" t="n" s="18">
        <v>0</v>
      </c>
      <c r="J321" t="n" s="17">
        <v>0</v>
      </c>
      <c r="K321" t="n" s="19">
        <v>0</v>
      </c>
    </row>
    <row r="322" hidden="0" ht="15" customHeight="1" spans="1:1">
      <c r="A322" t="str" s="16">
        <f>HYPERLINK("https://amazon.com/dp/B08R6JH8DG", "B08R6JH8DG")</f>
      </c>
      <c r="B322" t="s">
        <v>334</v>
      </c>
      <c r="C322" t="s">
        <v>13</v>
      </c>
      <c r="D322" t="n" s="17">
        <v>0</v>
      </c>
      <c r="E322" t="n" s="17">
        <v>375</v>
      </c>
      <c r="F322" t="n" s="17">
        <v>0</v>
      </c>
      <c r="G322" t="n" s="17">
        <v>0</v>
      </c>
      <c r="H322" t="n" s="17">
        <v>0</v>
      </c>
      <c r="I322" t="n" s="18">
        <v>0.0484</v>
      </c>
      <c r="J322" t="n" s="17">
        <v>25</v>
      </c>
      <c r="K322" t="n" s="19">
        <v>29083.25</v>
      </c>
    </row>
    <row r="323" hidden="0" ht="15" customHeight="1" spans="1:1">
      <c r="A323" t="str" s="16">
        <f>HYPERLINK("https://amazon.com/dp/B001GX0LSQ", "B001GX0LSQ")</f>
      </c>
      <c r="B323" t="s">
        <v>335</v>
      </c>
      <c r="C323" t="s">
        <v>13</v>
      </c>
      <c r="D323" t="n" s="17">
        <v>0</v>
      </c>
      <c r="E323" t="n" s="17">
        <v>0</v>
      </c>
      <c r="F323" t="n" s="17">
        <v>0</v>
      </c>
      <c r="G323" t="n" s="17">
        <v>0</v>
      </c>
      <c r="H323" t="n" s="17">
        <v>0</v>
      </c>
      <c r="I323" t="n" s="18">
        <v>0</v>
      </c>
      <c r="J323" t="n" s="17">
        <v>0</v>
      </c>
      <c r="K323" t="n" s="19">
        <v>0</v>
      </c>
    </row>
    <row r="324" hidden="0" ht="15" customHeight="1" spans="1:1">
      <c r="A324" t="str" s="16">
        <f>HYPERLINK("https://amazon.com/dp/B0F8Q743QN", "B0F8Q743QN")</f>
      </c>
      <c r="B324" t="s">
        <v>336</v>
      </c>
      <c r="C324" t="s">
        <v>16</v>
      </c>
      <c r="D324" t="n" s="17">
        <v>0</v>
      </c>
      <c r="E324" t="n" s="17">
        <v>9</v>
      </c>
      <c r="F324" t="n" s="17">
        <v>0</v>
      </c>
      <c r="G324" t="n" s="17">
        <v>0</v>
      </c>
      <c r="H324" t="n" s="17">
        <v>0</v>
      </c>
      <c r="I324" t="n" s="18">
        <v>0.8889</v>
      </c>
      <c r="J324" t="n" s="17">
        <v>8</v>
      </c>
      <c r="K324" t="n" s="19">
        <v>6194.48</v>
      </c>
    </row>
    <row r="325" hidden="0" ht="15" customHeight="1" spans="1:1">
      <c r="A325" t="str" s="16">
        <f>HYPERLINK("https://amazon.com/dp/B000FNFSPY", "B000FNFSPY")</f>
      </c>
      <c r="B325" t="s">
        <v>337</v>
      </c>
      <c r="C325" t="s">
        <v>13</v>
      </c>
      <c r="D325" t="n" s="17">
        <v>0</v>
      </c>
      <c r="E325" t="n" s="17">
        <v>75</v>
      </c>
      <c r="F325" t="n" s="17">
        <v>0</v>
      </c>
      <c r="G325" t="n" s="17">
        <v>0</v>
      </c>
      <c r="H325" t="n" s="17">
        <v>0</v>
      </c>
      <c r="I325" t="n" s="18">
        <v>0.026000000000000002</v>
      </c>
      <c r="J325" t="n" s="17">
        <v>2</v>
      </c>
      <c r="K325" t="n" s="19">
        <v>563.98</v>
      </c>
    </row>
    <row r="326" hidden="0" ht="15" customHeight="1" spans="1:1">
      <c r="A326" t="str" s="16">
        <f>HYPERLINK("https://amazon.com/dp/B0CMCWXPFX", "B0CMCWXPFX")</f>
      </c>
      <c r="B326" t="s">
        <v>338</v>
      </c>
      <c r="C326" t="s">
        <v>16</v>
      </c>
      <c r="D326" t="n" s="17">
        <v>0</v>
      </c>
      <c r="E326" t="n" s="17">
        <v>115</v>
      </c>
      <c r="F326" t="n" s="17">
        <v>0</v>
      </c>
      <c r="G326" t="n" s="17">
        <v>0</v>
      </c>
      <c r="H326" t="n" s="17">
        <v>0</v>
      </c>
      <c r="I326" t="n" s="18">
        <v>0.0123</v>
      </c>
      <c r="J326" t="n" s="17">
        <v>3</v>
      </c>
      <c r="K326" t="n" s="19">
        <v>10622.49</v>
      </c>
    </row>
    <row r="327" hidden="0" ht="15" customHeight="1" spans="1:1">
      <c r="A327" t="str" s="16">
        <f>HYPERLINK("https://amazon.com/dp/B0BD58BZ6F", "B0BD58BZ6F")</f>
      </c>
      <c r="B327" t="s">
        <v>339</v>
      </c>
      <c r="C327" t="s">
        <v>16</v>
      </c>
      <c r="D327" t="n" s="17">
        <v>0</v>
      </c>
      <c r="E327" t="n" s="17">
        <v>0</v>
      </c>
      <c r="F327" t="n" s="17">
        <v>0</v>
      </c>
      <c r="G327" t="n" s="17">
        <v>0</v>
      </c>
      <c r="H327" t="n" s="17">
        <v>0</v>
      </c>
      <c r="I327" t="n" s="18">
        <v>0</v>
      </c>
      <c r="J327" t="n" s="17">
        <v>0</v>
      </c>
      <c r="K327" t="n" s="19">
        <v>0</v>
      </c>
    </row>
    <row r="328" hidden="0" ht="15" customHeight="1" spans="1:1">
      <c r="A328" t="str" s="16">
        <f>HYPERLINK("https://amazon.com/dp/B01H2D2CJO", "B01H2D2CJO")</f>
      </c>
      <c r="B328" t="s">
        <v>340</v>
      </c>
      <c r="C328" t="s">
        <v>13</v>
      </c>
      <c r="D328" t="n" s="17">
        <v>0</v>
      </c>
      <c r="E328" t="n" s="17">
        <v>0</v>
      </c>
      <c r="F328" t="n" s="17">
        <v>0</v>
      </c>
      <c r="G328" t="n" s="17">
        <v>0</v>
      </c>
      <c r="H328" t="n" s="17">
        <v>0</v>
      </c>
      <c r="I328" t="n" s="18">
        <v>0</v>
      </c>
      <c r="J328" t="n" s="17">
        <v>0</v>
      </c>
      <c r="K328" t="n" s="19">
        <v>0</v>
      </c>
    </row>
    <row r="329" hidden="0" ht="15" customHeight="1" spans="1:1">
      <c r="A329" t="str" s="16">
        <f>HYPERLINK("https://amazon.com/dp/B09NC4SSSQ", "B09NC4SSSQ")</f>
      </c>
      <c r="B329" t="s">
        <v>341</v>
      </c>
      <c r="C329" t="s">
        <v>13</v>
      </c>
      <c r="D329" t="n" s="17">
        <v>0</v>
      </c>
      <c r="E329" t="n" s="17">
        <v>0</v>
      </c>
      <c r="F329" t="n" s="17">
        <v>0</v>
      </c>
      <c r="G329" t="n" s="17">
        <v>0</v>
      </c>
      <c r="H329" t="n" s="17">
        <v>0</v>
      </c>
      <c r="I329" t="n" s="18">
        <v>0</v>
      </c>
      <c r="J329" t="n" s="17">
        <v>0</v>
      </c>
      <c r="K329" t="n" s="19">
        <v>0</v>
      </c>
    </row>
    <row r="330" hidden="0" ht="15" customHeight="1" spans="1:1">
      <c r="A330" t="str" s="16">
        <f>HYPERLINK("https://amazon.com/dp/B0BFBFYL8W", "B0BFBFYL8W")</f>
      </c>
      <c r="B330" t="s">
        <v>342</v>
      </c>
      <c r="C330" t="s">
        <v>13</v>
      </c>
      <c r="D330" t="n" s="17">
        <v>0</v>
      </c>
      <c r="E330" t="n" s="17">
        <v>0</v>
      </c>
      <c r="F330" t="n" s="17">
        <v>0</v>
      </c>
      <c r="G330" t="n" s="17">
        <v>0</v>
      </c>
      <c r="H330" t="n" s="17">
        <v>0</v>
      </c>
      <c r="I330" t="n" s="18">
        <v>0</v>
      </c>
      <c r="J330" t="n" s="17">
        <v>0</v>
      </c>
      <c r="K330" t="n" s="19">
        <v>0</v>
      </c>
    </row>
    <row r="331" hidden="0" ht="15" customHeight="1" spans="1:1">
      <c r="A331" t="str" s="16">
        <f>HYPERLINK("https://amazon.com/dp/B09N9RYWK2", "B09N9RYWK2")</f>
      </c>
      <c r="B331" t="s">
        <v>343</v>
      </c>
      <c r="C331" t="s">
        <v>13</v>
      </c>
      <c r="D331" t="n" s="17">
        <v>0</v>
      </c>
      <c r="E331" t="n" s="17">
        <v>0</v>
      </c>
      <c r="F331" t="n" s="17">
        <v>0</v>
      </c>
      <c r="G331" t="n" s="17">
        <v>0</v>
      </c>
      <c r="H331" t="n" s="17">
        <v>0</v>
      </c>
      <c r="I331" t="n" s="18">
        <v>0</v>
      </c>
      <c r="J331" t="n" s="17">
        <v>0</v>
      </c>
      <c r="K331" t="n" s="19">
        <v>0</v>
      </c>
    </row>
    <row r="332" hidden="0" ht="15" customHeight="1" spans="1:1">
      <c r="A332" t="str" s="16">
        <f>HYPERLINK("https://amazon.com/dp/B0DQXPQSXM", "B0DQXPQSXM")</f>
      </c>
      <c r="B332" t="s">
        <v>344</v>
      </c>
      <c r="C332" t="s">
        <v>13</v>
      </c>
      <c r="D332" t="n" s="17">
        <v>0</v>
      </c>
      <c r="E332" t="n" s="17">
        <v>66</v>
      </c>
      <c r="F332" t="n" s="17">
        <v>0</v>
      </c>
      <c r="G332" t="n" s="17">
        <v>0</v>
      </c>
      <c r="H332" t="n" s="17">
        <v>0</v>
      </c>
      <c r="I332" t="n" s="18">
        <v>0.060599999999999994</v>
      </c>
      <c r="J332" t="n" s="17">
        <v>4</v>
      </c>
      <c r="K332" t="n" s="19">
        <v>1113.32</v>
      </c>
    </row>
    <row r="333" hidden="0" ht="15" customHeight="1" spans="1:1">
      <c r="A333" t="str" s="16">
        <f>HYPERLINK("https://amazon.com/dp/B0C4F1K568", "B0C4F1K568")</f>
      </c>
      <c r="B333" t="s">
        <v>345</v>
      </c>
      <c r="C333" t="s">
        <v>16</v>
      </c>
      <c r="D333" t="n" s="17">
        <v>0</v>
      </c>
      <c r="E333" t="n" s="17">
        <v>0</v>
      </c>
      <c r="F333" t="n" s="17">
        <v>0</v>
      </c>
      <c r="G333" t="n" s="17">
        <v>0</v>
      </c>
      <c r="H333" t="n" s="17">
        <v>0</v>
      </c>
      <c r="I333" t="n" s="18">
        <v>0</v>
      </c>
      <c r="J333" t="n" s="17">
        <v>0</v>
      </c>
      <c r="K333" t="n" s="19">
        <v>0</v>
      </c>
    </row>
    <row r="334" hidden="0" ht="15" customHeight="1" spans="1:1">
      <c r="A334" t="str" s="16">
        <f>HYPERLINK("https://amazon.com/dp/B0FSD6WTYL", "B0FSD6WTYL")</f>
      </c>
      <c r="B334" t="s">
        <v>346</v>
      </c>
      <c r="C334" t="s">
        <v>13</v>
      </c>
      <c r="D334" t="n" s="17">
        <v>0</v>
      </c>
      <c r="E334" t="n" s="17">
        <v>0</v>
      </c>
      <c r="F334" t="n" s="17">
        <v>0</v>
      </c>
      <c r="G334" t="n" s="17">
        <v>0</v>
      </c>
      <c r="H334" t="n" s="17">
        <v>0</v>
      </c>
      <c r="I334" t="n" s="18">
        <v>0</v>
      </c>
      <c r="J334" t="n" s="17">
        <v>0</v>
      </c>
      <c r="K334" t="n" s="19">
        <v>0</v>
      </c>
    </row>
    <row r="335" hidden="0" ht="15" customHeight="1" spans="1:1">
      <c r="A335" t="str" s="16">
        <f>HYPERLINK("https://amazon.com/dp/B09DPLWYQG", "B09DPLWYQG")</f>
      </c>
      <c r="B335" t="s">
        <v>347</v>
      </c>
      <c r="C335" t="s">
        <v>13</v>
      </c>
      <c r="D335" t="n" s="17">
        <v>0</v>
      </c>
      <c r="E335" t="n" s="17">
        <v>0</v>
      </c>
      <c r="F335" t="n" s="17">
        <v>0</v>
      </c>
      <c r="G335" t="n" s="17">
        <v>0</v>
      </c>
      <c r="H335" t="n" s="17">
        <v>0</v>
      </c>
      <c r="I335" t="n" s="18">
        <v>0</v>
      </c>
      <c r="J335" t="n" s="17">
        <v>0</v>
      </c>
      <c r="K335" t="n" s="19">
        <v>0</v>
      </c>
    </row>
    <row r="336" hidden="0" ht="15" customHeight="1" spans="1:1">
      <c r="A336" t="str" s="16">
        <f>HYPERLINK("https://amazon.com/dp/B0D5BCN87V", "B0D5BCN87V")</f>
      </c>
      <c r="B336" t="s">
        <v>348</v>
      </c>
      <c r="C336" t="s">
        <v>16</v>
      </c>
      <c r="D336" t="n" s="17">
        <v>0</v>
      </c>
      <c r="E336" t="n" s="17">
        <v>553</v>
      </c>
      <c r="F336" t="n" s="17">
        <v>0</v>
      </c>
      <c r="G336" t="n" s="17">
        <v>0</v>
      </c>
      <c r="H336" t="n" s="17">
        <v>0</v>
      </c>
      <c r="I336" t="n" s="18">
        <v>0.0482</v>
      </c>
      <c r="J336" t="n" s="17">
        <v>27</v>
      </c>
      <c r="K336" t="n" s="19">
        <v>73486.68</v>
      </c>
    </row>
    <row r="337" hidden="0" ht="15" customHeight="1" spans="1:1">
      <c r="A337" t="str" s="16">
        <f>HYPERLINK("https://amazon.com/dp/B08KGWTBGQ", "B08KGWTBGQ")</f>
      </c>
      <c r="B337" t="s">
        <v>349</v>
      </c>
      <c r="C337" t="s">
        <v>13</v>
      </c>
      <c r="D337" t="n" s="17">
        <v>0</v>
      </c>
      <c r="E337" t="n" s="17">
        <v>0</v>
      </c>
      <c r="F337" t="n" s="17">
        <v>0</v>
      </c>
      <c r="G337" t="n" s="17">
        <v>0</v>
      </c>
      <c r="H337" t="n" s="17">
        <v>0</v>
      </c>
      <c r="I337" t="n" s="18">
        <v>0</v>
      </c>
      <c r="J337" t="n" s="17">
        <v>0</v>
      </c>
      <c r="K337" t="n" s="19">
        <v>0</v>
      </c>
    </row>
    <row r="338" hidden="0" ht="15" customHeight="1" spans="1:1">
      <c r="A338" t="str" s="16">
        <f>HYPERLINK("https://amazon.com/dp/B00ADW9R22", "B00ADW9R22")</f>
      </c>
      <c r="B338" t="s">
        <v>350</v>
      </c>
      <c r="C338" t="s">
        <v>13</v>
      </c>
      <c r="D338" t="n" s="17">
        <v>0</v>
      </c>
      <c r="E338" t="n" s="17">
        <v>1204</v>
      </c>
      <c r="F338" t="n" s="17">
        <v>0</v>
      </c>
      <c r="G338" t="n" s="17">
        <v>0</v>
      </c>
      <c r="H338" t="n" s="17">
        <v>0</v>
      </c>
      <c r="I338" t="n" s="18">
        <v>0.0033</v>
      </c>
      <c r="J338" t="n" s="17">
        <v>4</v>
      </c>
      <c r="K338" t="n" s="19">
        <v>7727.92</v>
      </c>
    </row>
    <row r="339" hidden="0" ht="15" customHeight="1" spans="1:1">
      <c r="A339" t="str" s="16">
        <f>HYPERLINK("https://amazon.com/dp/B013OXVA6M", "B013OXVA6M")</f>
      </c>
      <c r="B339" t="s">
        <v>351</v>
      </c>
      <c r="C339" t="s">
        <v>13</v>
      </c>
      <c r="D339" t="n" s="17">
        <v>0</v>
      </c>
      <c r="E339" t="n" s="17">
        <v>0</v>
      </c>
      <c r="F339" t="n" s="17">
        <v>0</v>
      </c>
      <c r="G339" t="n" s="17">
        <v>0</v>
      </c>
      <c r="H339" t="n" s="17">
        <v>0</v>
      </c>
      <c r="I339" t="n" s="18">
        <v>0</v>
      </c>
      <c r="J339" t="n" s="17">
        <v>0</v>
      </c>
      <c r="K339" t="n" s="19">
        <v>0</v>
      </c>
    </row>
    <row r="340" hidden="0" ht="15" customHeight="1" spans="1:1">
      <c r="A340" t="str" s="16">
        <f>HYPERLINK("https://amazon.com/dp/B0C8NYMBRR", "B0C8NYMBRR")</f>
      </c>
      <c r="B340" t="s">
        <v>352</v>
      </c>
      <c r="C340" t="s">
        <v>16</v>
      </c>
      <c r="D340" t="n" s="17">
        <v>0</v>
      </c>
      <c r="E340" t="n" s="17">
        <v>7</v>
      </c>
      <c r="F340" t="n" s="17">
        <v>0</v>
      </c>
      <c r="G340" t="n" s="17">
        <v>0</v>
      </c>
      <c r="H340" t="n" s="17">
        <v>0</v>
      </c>
      <c r="I340" t="n" s="18">
        <v>0</v>
      </c>
      <c r="J340" t="n" s="17">
        <v>0</v>
      </c>
      <c r="K340" t="n" s="19">
        <v>0</v>
      </c>
    </row>
    <row r="341" hidden="0" ht="15" customHeight="1" spans="1:1">
      <c r="A341" t="str" s="16">
        <f>HYPERLINK("https://amazon.com/dp/B0CS4CN5C2", "B0CS4CN5C2")</f>
      </c>
      <c r="B341" t="s">
        <v>353</v>
      </c>
      <c r="C341" t="s">
        <v>29</v>
      </c>
      <c r="D341" t="n" s="17">
        <v>0</v>
      </c>
      <c r="E341" t="n" s="17">
        <v>60</v>
      </c>
      <c r="F341" t="n" s="17">
        <v>0</v>
      </c>
      <c r="G341" t="n" s="17">
        <v>0</v>
      </c>
      <c r="H341" t="n" s="17">
        <v>0</v>
      </c>
      <c r="I341" t="n" s="18">
        <v>0.0405</v>
      </c>
      <c r="J341" t="n" s="17">
        <v>3</v>
      </c>
      <c r="K341" t="n" s="19">
        <v>3427.84</v>
      </c>
    </row>
    <row r="342" hidden="0" ht="15" customHeight="1" spans="1:1">
      <c r="A342" t="str" s="16">
        <f>HYPERLINK("https://amazon.com/dp/B00A0VCJPI", "B00A0VCJPI")</f>
      </c>
      <c r="B342" t="s">
        <v>354</v>
      </c>
      <c r="C342" t="s">
        <v>13</v>
      </c>
      <c r="D342" t="n" s="17">
        <v>0</v>
      </c>
      <c r="E342" t="n" s="17">
        <v>742</v>
      </c>
      <c r="F342" t="n" s="17">
        <v>0</v>
      </c>
      <c r="G342" t="n" s="17">
        <v>0</v>
      </c>
      <c r="H342" t="n" s="17">
        <v>0</v>
      </c>
      <c r="I342" t="n" s="18">
        <v>0.054400000000000004</v>
      </c>
      <c r="J342" t="n" s="17">
        <v>41</v>
      </c>
      <c r="K342" t="n" s="19">
        <v>24531.74</v>
      </c>
    </row>
    <row r="343" hidden="0" ht="15" customHeight="1" spans="1:1">
      <c r="A343" t="str" s="16">
        <f>HYPERLINK("https://amazon.com/dp/B09DQ3RV16", "B09DQ3RV16")</f>
      </c>
      <c r="B343" t="s">
        <v>355</v>
      </c>
      <c r="C343" t="s">
        <v>13</v>
      </c>
      <c r="D343" t="n" s="17">
        <v>0</v>
      </c>
      <c r="E343" t="n" s="17">
        <v>0</v>
      </c>
      <c r="F343" t="n" s="17">
        <v>0</v>
      </c>
      <c r="G343" t="n" s="17">
        <v>0</v>
      </c>
      <c r="H343" t="n" s="17">
        <v>0</v>
      </c>
      <c r="I343" t="n" s="18">
        <v>0</v>
      </c>
      <c r="J343" t="n" s="17">
        <v>0</v>
      </c>
      <c r="K343" t="n" s="19">
        <v>0</v>
      </c>
    </row>
    <row r="344" hidden="0" ht="15" customHeight="1" spans="1:1">
      <c r="A344" t="str" s="16">
        <f>HYPERLINK("https://amazon.com/dp/B0DJSV2W43", "B0DJSV2W43")</f>
      </c>
      <c r="B344" t="s">
        <v>356</v>
      </c>
      <c r="C344" t="s">
        <v>13</v>
      </c>
      <c r="D344" t="n" s="17">
        <v>0</v>
      </c>
      <c r="E344" t="n" s="17">
        <v>144</v>
      </c>
      <c r="F344" t="n" s="17">
        <v>0</v>
      </c>
      <c r="G344" t="n" s="17">
        <v>0</v>
      </c>
      <c r="H344" t="n" s="17">
        <v>0</v>
      </c>
      <c r="I344" t="n" s="18">
        <v>0</v>
      </c>
      <c r="J344" t="n" s="17">
        <v>0</v>
      </c>
      <c r="K344" t="n" s="19">
        <v>0</v>
      </c>
    </row>
    <row r="345" hidden="0" ht="15" customHeight="1" spans="1:1">
      <c r="A345" t="str" s="16">
        <f>HYPERLINK("https://amazon.com/dp/B01N317L61", "B01N317L61")</f>
      </c>
      <c r="B345" t="s">
        <v>357</v>
      </c>
      <c r="C345" t="s">
        <v>13</v>
      </c>
      <c r="D345" t="n" s="17">
        <v>0</v>
      </c>
      <c r="E345" t="n" s="17">
        <v>0</v>
      </c>
      <c r="F345" t="n" s="17">
        <v>0</v>
      </c>
      <c r="G345" t="n" s="17">
        <v>0</v>
      </c>
      <c r="H345" t="n" s="17">
        <v>0</v>
      </c>
      <c r="I345" t="n" s="18">
        <v>0</v>
      </c>
      <c r="J345" t="n" s="17">
        <v>0</v>
      </c>
      <c r="K345" t="n" s="19">
        <v>0</v>
      </c>
    </row>
    <row r="346" hidden="0" ht="15" customHeight="1" spans="1:1">
      <c r="A346" t="str" s="16">
        <f>HYPERLINK("https://amazon.com/dp/B08KB45P28", "B08KB45P28")</f>
      </c>
      <c r="B346" t="s">
        <v>358</v>
      </c>
      <c r="C346" t="s">
        <v>13</v>
      </c>
      <c r="D346" t="n" s="17">
        <v>0</v>
      </c>
      <c r="E346" t="n" s="17">
        <v>15</v>
      </c>
      <c r="F346" t="n" s="17">
        <v>0</v>
      </c>
      <c r="G346" t="n" s="17">
        <v>0</v>
      </c>
      <c r="H346" t="n" s="17">
        <v>0</v>
      </c>
      <c r="I346" t="n" s="18">
        <v>0</v>
      </c>
      <c r="J346" t="n" s="17">
        <v>0</v>
      </c>
      <c r="K346" t="n" s="19">
        <v>0</v>
      </c>
    </row>
    <row r="347" hidden="0" ht="15" customHeight="1" spans="1:1">
      <c r="A347" t="str" s="16">
        <f>HYPERLINK("https://amazon.com/dp/B07TT5752B", "B07TT5752B")</f>
      </c>
      <c r="B347" t="s">
        <v>359</v>
      </c>
      <c r="C347" t="s">
        <v>13</v>
      </c>
      <c r="D347" t="n" s="17">
        <v>0</v>
      </c>
      <c r="E347" t="n" s="17">
        <v>0</v>
      </c>
      <c r="F347" t="n" s="17">
        <v>0</v>
      </c>
      <c r="G347" t="n" s="17">
        <v>0</v>
      </c>
      <c r="H347" t="n" s="17">
        <v>0</v>
      </c>
      <c r="I347" t="n" s="18">
        <v>0</v>
      </c>
      <c r="J347" t="n" s="17">
        <v>0</v>
      </c>
      <c r="K347" t="n" s="19">
        <v>0</v>
      </c>
    </row>
    <row r="348" hidden="0" ht="15" customHeight="1" spans="1:1">
      <c r="A348" t="str" s="16">
        <f>HYPERLINK("https://amazon.com/dp/B0CS6WK6YL", "B0CS6WK6YL")</f>
      </c>
      <c r="B348" t="s">
        <v>360</v>
      </c>
      <c r="C348" t="s">
        <v>29</v>
      </c>
      <c r="D348" t="n" s="17">
        <v>0</v>
      </c>
      <c r="E348" t="n" s="17">
        <v>46</v>
      </c>
      <c r="F348" t="n" s="17">
        <v>0</v>
      </c>
      <c r="G348" t="n" s="17">
        <v>0</v>
      </c>
      <c r="H348" t="n" s="17">
        <v>0</v>
      </c>
      <c r="I348" t="n" s="18">
        <v>0.0652</v>
      </c>
      <c r="J348" t="n" s="17">
        <v>3</v>
      </c>
      <c r="K348" t="n" s="19">
        <v>1472.49</v>
      </c>
    </row>
    <row r="349" hidden="0" ht="15" customHeight="1" spans="1:1">
      <c r="A349" t="str" s="16">
        <f>HYPERLINK("https://amazon.com/dp/B01LX8Z8TP", "B01LX8Z8TP")</f>
      </c>
      <c r="B349" t="s">
        <v>361</v>
      </c>
      <c r="C349" t="s">
        <v>13</v>
      </c>
      <c r="D349" t="n" s="17">
        <v>0</v>
      </c>
      <c r="E349" t="n" s="17">
        <v>0</v>
      </c>
      <c r="F349" t="n" s="17">
        <v>0</v>
      </c>
      <c r="G349" t="n" s="17">
        <v>0</v>
      </c>
      <c r="H349" t="n" s="17">
        <v>0</v>
      </c>
      <c r="I349" t="n" s="18">
        <v>0</v>
      </c>
      <c r="J349" t="n" s="17">
        <v>0</v>
      </c>
      <c r="K349" t="n" s="19">
        <v>0</v>
      </c>
    </row>
    <row r="350" hidden="0" ht="15" customHeight="1" spans="1:1">
      <c r="A350" t="str" s="16">
        <f>HYPERLINK("https://amazon.com/dp/B0BF5MC9QX", "B0BF5MC9QX")</f>
      </c>
      <c r="B350" t="s">
        <v>362</v>
      </c>
      <c r="C350" t="s">
        <v>16</v>
      </c>
      <c r="D350" t="n" s="17">
        <v>0</v>
      </c>
      <c r="E350" t="n" s="17">
        <v>0</v>
      </c>
      <c r="F350" t="n" s="17">
        <v>0</v>
      </c>
      <c r="G350" t="n" s="17">
        <v>0</v>
      </c>
      <c r="H350" t="n" s="17">
        <v>0</v>
      </c>
      <c r="I350" t="n" s="18">
        <v>0</v>
      </c>
      <c r="J350" t="n" s="17">
        <v>0</v>
      </c>
      <c r="K350" t="n" s="19">
        <v>0</v>
      </c>
    </row>
    <row r="351" hidden="0" ht="15" customHeight="1" spans="1:1">
      <c r="A351" t="str" s="16">
        <f>HYPERLINK("https://amazon.com/dp/B01M2CRJA5", "B01M2CRJA5")</f>
      </c>
      <c r="B351" t="s">
        <v>363</v>
      </c>
      <c r="C351" t="s">
        <v>13</v>
      </c>
      <c r="D351" t="n" s="17">
        <v>0</v>
      </c>
      <c r="E351" t="n" s="17">
        <v>0</v>
      </c>
      <c r="F351" t="n" s="17">
        <v>0</v>
      </c>
      <c r="G351" t="n" s="17">
        <v>0</v>
      </c>
      <c r="H351" t="n" s="17">
        <v>0</v>
      </c>
      <c r="I351" t="n" s="18">
        <v>0</v>
      </c>
      <c r="J351" t="n" s="17">
        <v>0</v>
      </c>
      <c r="K351" t="n" s="19">
        <v>0</v>
      </c>
    </row>
    <row r="352" hidden="0" ht="15" customHeight="1" spans="1:1">
      <c r="A352" t="str" s="16">
        <f>HYPERLINK("https://amazon.com/dp/B0BJQVQ49Q", "B0BJQVQ49Q")</f>
      </c>
      <c r="B352" t="s">
        <v>364</v>
      </c>
      <c r="C352" t="s">
        <v>16</v>
      </c>
      <c r="D352" t="n" s="17">
        <v>0</v>
      </c>
      <c r="E352" t="n" s="17">
        <v>291</v>
      </c>
      <c r="F352" t="n" s="17">
        <v>0</v>
      </c>
      <c r="G352" t="n" s="17">
        <v>0</v>
      </c>
      <c r="H352" t="n" s="17">
        <v>0</v>
      </c>
      <c r="I352" t="n" s="18">
        <v>0.0103</v>
      </c>
      <c r="J352" t="n" s="17">
        <v>3</v>
      </c>
      <c r="K352" t="n" s="19">
        <v>2447.49</v>
      </c>
    </row>
    <row r="353" hidden="0" ht="15" customHeight="1" spans="1:1">
      <c r="A353" t="str" s="16">
        <f>HYPERLINK("https://amazon.com/dp/B0873SLW3V", "B0873SLW3V")</f>
      </c>
      <c r="B353" t="s">
        <v>365</v>
      </c>
      <c r="C353" t="s">
        <v>13</v>
      </c>
      <c r="D353" t="n" s="17">
        <v>0</v>
      </c>
      <c r="E353" t="n" s="17">
        <v>41</v>
      </c>
      <c r="F353" t="n" s="17">
        <v>0</v>
      </c>
      <c r="G353" t="n" s="17">
        <v>0</v>
      </c>
      <c r="H353" t="n" s="17">
        <v>0</v>
      </c>
      <c r="I353" t="n" s="18">
        <v>0.0455</v>
      </c>
      <c r="J353" t="n" s="17">
        <v>2</v>
      </c>
      <c r="K353" t="n" s="19">
        <v>1477.74</v>
      </c>
    </row>
    <row r="354" hidden="0" ht="15" customHeight="1" spans="1:1">
      <c r="A354" t="str" s="16">
        <f>HYPERLINK("https://amazon.com/dp/B0DFFPYNC7", "B0DFFPYNC7")</f>
      </c>
      <c r="B354" t="s">
        <v>366</v>
      </c>
      <c r="C354" t="s">
        <v>13</v>
      </c>
      <c r="D354" t="n" s="17">
        <v>0</v>
      </c>
      <c r="E354" t="n" s="17">
        <v>262</v>
      </c>
      <c r="F354" t="n" s="17">
        <v>0</v>
      </c>
      <c r="G354" t="n" s="17">
        <v>0</v>
      </c>
      <c r="H354" t="n" s="17">
        <v>0</v>
      </c>
      <c r="I354" t="n" s="18">
        <v>0.026699999999999998</v>
      </c>
      <c r="J354" t="n" s="17">
        <v>7</v>
      </c>
      <c r="K354" t="n" s="19">
        <v>13930.14</v>
      </c>
    </row>
    <row r="355" hidden="0" ht="15" customHeight="1" spans="1:1">
      <c r="A355" t="str" s="16">
        <f>HYPERLINK("https://amazon.com/dp/B0BG64ZG8Q", "B0BG64ZG8Q")</f>
      </c>
      <c r="B355" t="s">
        <v>367</v>
      </c>
      <c r="C355" t="s">
        <v>16</v>
      </c>
      <c r="D355" t="n" s="17">
        <v>0</v>
      </c>
      <c r="E355" t="n" s="17">
        <v>0</v>
      </c>
      <c r="F355" t="n" s="17">
        <v>0</v>
      </c>
      <c r="G355" t="n" s="17">
        <v>0</v>
      </c>
      <c r="H355" t="n" s="17">
        <v>0</v>
      </c>
      <c r="I355" t="n" s="18">
        <v>0</v>
      </c>
      <c r="J355" t="n" s="17">
        <v>0</v>
      </c>
      <c r="K355" t="n" s="19">
        <v>0</v>
      </c>
    </row>
    <row r="356" hidden="0" ht="15" customHeight="1" spans="1:1">
      <c r="A356" t="str" s="16">
        <f>HYPERLINK("https://amazon.com/dp/B0GVZ4Z8S9", "B0GVZ4Z8S9")</f>
      </c>
      <c r="B356" t="s">
        <v>368</v>
      </c>
      <c r="C356" t="s">
        <v>16</v>
      </c>
      <c r="D356" t="n" s="17">
        <v>0</v>
      </c>
      <c r="E356" t="n" s="17">
        <v>0</v>
      </c>
      <c r="F356" t="n" s="17">
        <v>0</v>
      </c>
      <c r="G356" t="n" s="17">
        <v>0</v>
      </c>
      <c r="H356" t="n" s="17">
        <v>0</v>
      </c>
      <c r="I356" t="n" s="18">
        <v>0</v>
      </c>
      <c r="J356" t="n" s="17">
        <v>0</v>
      </c>
      <c r="K356" t="n" s="19">
        <v>0</v>
      </c>
    </row>
    <row r="357" hidden="0" ht="15" customHeight="1" spans="1:1">
      <c r="A357" t="str" s="16">
        <f>HYPERLINK("https://amazon.com/dp/B0F1RHG41W", "B0F1RHG41W")</f>
      </c>
      <c r="B357" t="s">
        <v>369</v>
      </c>
      <c r="C357" t="s">
        <v>13</v>
      </c>
      <c r="D357" t="n" s="17">
        <v>0</v>
      </c>
      <c r="E357" t="n" s="17">
        <v>15</v>
      </c>
      <c r="F357" t="n" s="17">
        <v>0</v>
      </c>
      <c r="G357" t="n" s="17">
        <v>0</v>
      </c>
      <c r="H357" t="n" s="17">
        <v>0</v>
      </c>
      <c r="I357" t="n" s="18">
        <v>0</v>
      </c>
      <c r="J357" t="n" s="17">
        <v>0</v>
      </c>
      <c r="K357" t="n" s="19">
        <v>0</v>
      </c>
    </row>
    <row r="358" hidden="0" ht="15" customHeight="1" spans="1:1">
      <c r="A358" t="str" s="16">
        <f>HYPERLINK("https://amazon.com/dp/B095CLQ1PT", "B095CLQ1PT")</f>
      </c>
      <c r="B358" t="s">
        <v>370</v>
      </c>
      <c r="C358" t="s">
        <v>16</v>
      </c>
      <c r="D358" t="n" s="17">
        <v>0</v>
      </c>
      <c r="E358" t="n" s="17">
        <v>0</v>
      </c>
      <c r="F358" t="n" s="17">
        <v>0</v>
      </c>
      <c r="G358" t="n" s="17">
        <v>0</v>
      </c>
      <c r="H358" t="n" s="17">
        <v>0</v>
      </c>
      <c r="I358" t="n" s="18">
        <v>0</v>
      </c>
      <c r="J358" t="n" s="17">
        <v>0</v>
      </c>
      <c r="K358" t="n" s="19">
        <v>0</v>
      </c>
    </row>
    <row r="359" hidden="0" ht="15" customHeight="1" spans="1:1">
      <c r="A359" t="str" s="16">
        <f>HYPERLINK("https://amazon.com/dp/B0741FFT6F", "B0741FFT6F")</f>
      </c>
      <c r="B359" t="s">
        <v>371</v>
      </c>
      <c r="C359" t="s">
        <v>13</v>
      </c>
      <c r="D359" t="n" s="17">
        <v>0</v>
      </c>
      <c r="E359" t="n" s="17">
        <v>132</v>
      </c>
      <c r="F359" t="n" s="17">
        <v>0</v>
      </c>
      <c r="G359" t="n" s="17">
        <v>0</v>
      </c>
      <c r="H359" t="n" s="17">
        <v>0</v>
      </c>
      <c r="I359" t="n" s="18">
        <v>0.0682</v>
      </c>
      <c r="J359" t="n" s="17">
        <v>9</v>
      </c>
      <c r="K359" t="n" s="19">
        <v>19751.71</v>
      </c>
    </row>
    <row r="360" hidden="0" ht="15" customHeight="1" spans="1:1">
      <c r="A360" t="str" s="16">
        <f>HYPERLINK("https://amazon.com/dp/B08FYJKGSX", "B08FYJKGSX")</f>
      </c>
      <c r="B360" t="s">
        <v>372</v>
      </c>
      <c r="C360" t="s">
        <v>13</v>
      </c>
      <c r="D360" t="n" s="17">
        <v>0</v>
      </c>
      <c r="E360" t="n" s="17">
        <v>0</v>
      </c>
      <c r="F360" t="n" s="17">
        <v>0</v>
      </c>
      <c r="G360" t="n" s="17">
        <v>0</v>
      </c>
      <c r="H360" t="n" s="17">
        <v>0</v>
      </c>
      <c r="I360" t="n" s="18">
        <v>0</v>
      </c>
      <c r="J360" t="n" s="17">
        <v>0</v>
      </c>
      <c r="K360" t="n" s="19">
        <v>0</v>
      </c>
    </row>
    <row r="361" hidden="0" ht="15" customHeight="1" spans="1:1">
      <c r="A361" t="str" s="16">
        <f>HYPERLINK("https://amazon.com/dp/B084KJF5DJ", "B084KJF5DJ")</f>
      </c>
      <c r="B361" t="s">
        <v>373</v>
      </c>
      <c r="C361" t="s">
        <v>13</v>
      </c>
      <c r="D361" t="n" s="17">
        <v>0</v>
      </c>
      <c r="E361" t="n" s="17">
        <v>0</v>
      </c>
      <c r="F361" t="n" s="17">
        <v>0</v>
      </c>
      <c r="G361" t="n" s="17">
        <v>0</v>
      </c>
      <c r="H361" t="n" s="17">
        <v>0</v>
      </c>
      <c r="I361" t="n" s="18">
        <v>0</v>
      </c>
      <c r="J361" t="n" s="17">
        <v>0</v>
      </c>
      <c r="K361" t="n" s="19">
        <v>0</v>
      </c>
    </row>
    <row r="362" hidden="0" ht="15" customHeight="1" spans="1:1">
      <c r="A362" t="str" s="16">
        <f>HYPERLINK("https://amazon.com/dp/B00K11UHVA", "B00K11UHVA")</f>
      </c>
      <c r="B362" t="s">
        <v>374</v>
      </c>
      <c r="C362" t="s">
        <v>13</v>
      </c>
      <c r="D362" t="n" s="17">
        <v>0</v>
      </c>
      <c r="E362" t="n" s="17">
        <v>0</v>
      </c>
      <c r="F362" t="n" s="17">
        <v>0</v>
      </c>
      <c r="G362" t="n" s="17">
        <v>0</v>
      </c>
      <c r="H362" t="n" s="17">
        <v>0</v>
      </c>
      <c r="I362" t="n" s="18">
        <v>0</v>
      </c>
      <c r="J362" t="n" s="17">
        <v>0</v>
      </c>
      <c r="K362" t="n" s="19">
        <v>0</v>
      </c>
    </row>
    <row r="363" hidden="0" ht="15" customHeight="1" spans="1:1">
      <c r="A363" t="str" s="16">
        <f>HYPERLINK("https://amazon.com/dp/B0GD6GXR92", "B0GD6GXR92")</f>
      </c>
      <c r="B363" t="s">
        <v>375</v>
      </c>
      <c r="C363" t="s">
        <v>13</v>
      </c>
      <c r="D363" t="n" s="17">
        <v>0</v>
      </c>
      <c r="E363" t="n" s="17">
        <v>51</v>
      </c>
      <c r="F363" t="n" s="17">
        <v>0</v>
      </c>
      <c r="G363" t="n" s="17">
        <v>0</v>
      </c>
      <c r="H363" t="n" s="17">
        <v>0</v>
      </c>
      <c r="I363" t="n" s="18">
        <v>0.0196</v>
      </c>
      <c r="J363" t="n" s="17">
        <v>1</v>
      </c>
      <c r="K363" t="n" s="19">
        <v>1092.62</v>
      </c>
    </row>
    <row r="364" hidden="0" ht="15" customHeight="1" spans="1:1">
      <c r="A364" t="str" s="16">
        <f>HYPERLINK("https://amazon.com/dp/B08R3ZHZ78", "B08R3ZHZ78")</f>
      </c>
      <c r="B364" t="s">
        <v>376</v>
      </c>
      <c r="C364" t="s">
        <v>13</v>
      </c>
      <c r="D364" t="n" s="17">
        <v>0</v>
      </c>
      <c r="E364" t="n" s="17">
        <v>0</v>
      </c>
      <c r="F364" t="n" s="17">
        <v>0</v>
      </c>
      <c r="G364" t="n" s="17">
        <v>0</v>
      </c>
      <c r="H364" t="n" s="17">
        <v>0</v>
      </c>
      <c r="I364" t="n" s="18">
        <v>0</v>
      </c>
      <c r="J364" t="n" s="17">
        <v>0</v>
      </c>
      <c r="K364" t="n" s="19">
        <v>0</v>
      </c>
    </row>
    <row r="365" hidden="0" ht="15" customHeight="1" spans="1:1">
      <c r="A365" t="str" s="16">
        <f>HYPERLINK("https://amazon.com/dp/B0859M539M", "B0859M539M")</f>
      </c>
      <c r="B365" t="s">
        <v>377</v>
      </c>
      <c r="C365" t="s">
        <v>13</v>
      </c>
      <c r="D365" t="n" s="17">
        <v>0</v>
      </c>
      <c r="E365" t="n" s="17">
        <v>451</v>
      </c>
      <c r="F365" t="n" s="17">
        <v>0</v>
      </c>
      <c r="G365" t="n" s="17">
        <v>0</v>
      </c>
      <c r="H365" t="n" s="17">
        <v>0</v>
      </c>
      <c r="I365" t="n" s="18">
        <v>0.008199999999999999</v>
      </c>
      <c r="J365" t="n" s="17">
        <v>4</v>
      </c>
      <c r="K365" t="n" s="19">
        <v>2936.68</v>
      </c>
    </row>
    <row r="366" hidden="0" ht="15" customHeight="1" spans="1:1">
      <c r="A366" t="str" s="16">
        <f>HYPERLINK("https://amazon.com/dp/B0CKPRGP82", "B0CKPRGP82")</f>
      </c>
      <c r="B366" t="s">
        <v>378</v>
      </c>
      <c r="C366" t="s">
        <v>13</v>
      </c>
      <c r="D366" t="n" s="17">
        <v>0</v>
      </c>
      <c r="E366" t="n" s="17">
        <v>158</v>
      </c>
      <c r="F366" t="n" s="17">
        <v>0</v>
      </c>
      <c r="G366" t="n" s="17">
        <v>0</v>
      </c>
      <c r="H366" t="n" s="17">
        <v>0</v>
      </c>
      <c r="I366" t="n" s="18">
        <v>0.058499999999999996</v>
      </c>
      <c r="J366" t="n" s="17">
        <v>10</v>
      </c>
      <c r="K366" t="n" s="19">
        <v>19003.53</v>
      </c>
    </row>
    <row r="367" hidden="0" ht="15" customHeight="1" spans="1:1">
      <c r="A367" t="str" s="16">
        <f>HYPERLINK("https://amazon.com/dp/B00A121WN6", "B00A121WN6")</f>
      </c>
      <c r="B367" t="s">
        <v>379</v>
      </c>
      <c r="C367" t="s">
        <v>13</v>
      </c>
      <c r="D367" t="n" s="17">
        <v>0</v>
      </c>
      <c r="E367" t="n" s="17">
        <v>0</v>
      </c>
      <c r="F367" t="n" s="17">
        <v>0</v>
      </c>
      <c r="G367" t="n" s="17">
        <v>0</v>
      </c>
      <c r="H367" t="n" s="17">
        <v>0</v>
      </c>
      <c r="I367" t="n" s="18">
        <v>0</v>
      </c>
      <c r="J367" t="n" s="17">
        <v>0</v>
      </c>
      <c r="K367" t="n" s="19">
        <v>0</v>
      </c>
    </row>
    <row r="368" hidden="0" ht="15" customHeight="1" spans="1:1">
      <c r="A368" t="str" s="16">
        <f>HYPERLINK("https://amazon.com/dp/B098K3H92Z", "B098K3H92Z")</f>
      </c>
      <c r="B368" t="s">
        <v>380</v>
      </c>
      <c r="C368" t="s">
        <v>13</v>
      </c>
      <c r="D368" t="n" s="17">
        <v>0</v>
      </c>
      <c r="E368" t="n" s="17">
        <v>488</v>
      </c>
      <c r="F368" t="n" s="17">
        <v>0</v>
      </c>
      <c r="G368" t="n" s="17">
        <v>0</v>
      </c>
      <c r="H368" t="n" s="17">
        <v>0</v>
      </c>
      <c r="I368" t="n" s="18">
        <v>0.0352</v>
      </c>
      <c r="J368" t="n" s="17">
        <v>48</v>
      </c>
      <c r="K368" t="n" s="19">
        <v>16760.16</v>
      </c>
    </row>
    <row r="369" hidden="0" ht="15" customHeight="1" spans="1:1">
      <c r="A369" t="str" s="16">
        <f>HYPERLINK("https://amazon.com/dp/B0F19KCGPK", "B0F19KCGPK")</f>
      </c>
      <c r="B369" t="s">
        <v>381</v>
      </c>
      <c r="C369" t="s">
        <v>13</v>
      </c>
      <c r="D369" t="n" s="17">
        <v>0</v>
      </c>
      <c r="E369" t="n" s="17">
        <v>202</v>
      </c>
      <c r="F369" t="n" s="17">
        <v>0</v>
      </c>
      <c r="G369" t="n" s="17">
        <v>0</v>
      </c>
      <c r="H369" t="n" s="17">
        <v>0</v>
      </c>
      <c r="I369" t="n" s="18">
        <v>0.0297</v>
      </c>
      <c r="J369" t="n" s="17">
        <v>6</v>
      </c>
      <c r="K369" t="n" s="19">
        <v>16573.8</v>
      </c>
    </row>
    <row r="370" hidden="0" ht="15" customHeight="1" spans="1:1">
      <c r="A370" t="str" s="16">
        <f>HYPERLINK("https://amazon.com/dp/B08DP22ZRM", "B08DP22ZRM")</f>
      </c>
      <c r="B370" t="s">
        <v>382</v>
      </c>
      <c r="C370" t="s">
        <v>13</v>
      </c>
      <c r="D370" t="n" s="17">
        <v>0</v>
      </c>
      <c r="E370" t="n" s="17">
        <v>0</v>
      </c>
      <c r="F370" t="n" s="17">
        <v>0</v>
      </c>
      <c r="G370" t="n" s="17">
        <v>0</v>
      </c>
      <c r="H370" t="n" s="17">
        <v>0</v>
      </c>
      <c r="I370" t="n" s="18">
        <v>0</v>
      </c>
      <c r="J370" t="n" s="17">
        <v>0</v>
      </c>
      <c r="K370" t="n" s="19">
        <v>0</v>
      </c>
    </row>
    <row r="371" hidden="0" ht="15" customHeight="1" spans="1:1">
      <c r="A371" t="str" s="16">
        <f>HYPERLINK("https://amazon.com/dp/B0CJCLWF8N", "B0CJCLWF8N")</f>
      </c>
      <c r="B371" t="s">
        <v>383</v>
      </c>
      <c r="C371" t="s">
        <v>13</v>
      </c>
      <c r="D371" t="n" s="17">
        <v>0</v>
      </c>
      <c r="E371" t="n" s="17">
        <v>111</v>
      </c>
      <c r="F371" t="n" s="17">
        <v>0</v>
      </c>
      <c r="G371" t="n" s="17">
        <v>0</v>
      </c>
      <c r="H371" t="n" s="17">
        <v>0</v>
      </c>
      <c r="I371" t="n" s="18">
        <v>0.0043</v>
      </c>
      <c r="J371" t="n" s="17">
        <v>5</v>
      </c>
      <c r="K371" t="n" s="19">
        <v>14449.4</v>
      </c>
    </row>
    <row r="372" hidden="0" ht="15" customHeight="1" spans="1:1">
      <c r="A372" t="str" s="16">
        <f>HYPERLINK("https://amazon.com/dp/B0BPTC2BQ9", "B0BPTC2BQ9")</f>
      </c>
      <c r="B372" t="s">
        <v>384</v>
      </c>
      <c r="C372" t="s">
        <v>29</v>
      </c>
      <c r="D372" t="n" s="17">
        <v>0</v>
      </c>
      <c r="E372" t="n" s="17">
        <v>0</v>
      </c>
      <c r="F372" t="n" s="17">
        <v>0</v>
      </c>
      <c r="G372" t="n" s="17">
        <v>0</v>
      </c>
      <c r="H372" t="n" s="17">
        <v>0</v>
      </c>
      <c r="I372" t="n" s="18">
        <v>0</v>
      </c>
      <c r="J372" t="n" s="17">
        <v>0</v>
      </c>
      <c r="K372" t="n" s="19">
        <v>0</v>
      </c>
    </row>
    <row r="373" hidden="0" ht="15" customHeight="1" spans="1:1">
      <c r="A373" t="str" s="16">
        <f>HYPERLINK("https://amazon.com/dp/B019RS0VTA", "B019RS0VTA")</f>
      </c>
      <c r="B373" t="s">
        <v>385</v>
      </c>
      <c r="C373" t="s">
        <v>13</v>
      </c>
      <c r="D373" t="n" s="17">
        <v>0</v>
      </c>
      <c r="E373" t="n" s="17">
        <v>0</v>
      </c>
      <c r="F373" t="n" s="17">
        <v>0</v>
      </c>
      <c r="G373" t="n" s="17">
        <v>0</v>
      </c>
      <c r="H373" t="n" s="17">
        <v>0</v>
      </c>
      <c r="I373" t="n" s="18">
        <v>0</v>
      </c>
      <c r="J373" t="n" s="17">
        <v>0</v>
      </c>
      <c r="K373" t="n" s="19">
        <v>0</v>
      </c>
    </row>
    <row r="374" hidden="0" ht="15" customHeight="1" spans="1:1">
      <c r="A374" t="str" s="16">
        <f>HYPERLINK("https://amazon.com/dp/B089PQQKJ2", "B089PQQKJ2")</f>
      </c>
      <c r="B374" t="s">
        <v>386</v>
      </c>
      <c r="C374" t="s">
        <v>13</v>
      </c>
      <c r="D374" t="n" s="17">
        <v>0</v>
      </c>
      <c r="E374" t="n" s="17">
        <v>0</v>
      </c>
      <c r="F374" t="n" s="17">
        <v>0</v>
      </c>
      <c r="G374" t="n" s="17">
        <v>0</v>
      </c>
      <c r="H374" t="n" s="17">
        <v>0</v>
      </c>
      <c r="I374" t="n" s="18">
        <v>0</v>
      </c>
      <c r="J374" t="n" s="17">
        <v>0</v>
      </c>
      <c r="K374" t="n" s="19">
        <v>0</v>
      </c>
    </row>
    <row r="375" hidden="0" ht="15" customHeight="1" spans="1:1">
      <c r="A375" t="str" s="16">
        <f>HYPERLINK("https://amazon.com/dp/B0G2CS18YJ", "B0G2CS18YJ")</f>
      </c>
      <c r="B375" t="s">
        <v>387</v>
      </c>
      <c r="C375" t="s">
        <v>13</v>
      </c>
      <c r="D375" t="n" s="17">
        <v>0</v>
      </c>
      <c r="E375" t="n" s="17">
        <v>0</v>
      </c>
      <c r="F375" t="n" s="17">
        <v>0</v>
      </c>
      <c r="G375" t="n" s="17">
        <v>0</v>
      </c>
      <c r="H375" t="n" s="17">
        <v>0</v>
      </c>
      <c r="I375" t="n" s="18">
        <v>0</v>
      </c>
      <c r="J375" t="n" s="17">
        <v>0</v>
      </c>
      <c r="K375" t="n" s="19">
        <v>0</v>
      </c>
    </row>
    <row r="376" hidden="0" ht="15" customHeight="1" spans="1:1">
      <c r="A376" t="str" s="16">
        <f>HYPERLINK("https://amazon.com/dp/B09FDRMZ73", "B09FDRMZ73")</f>
      </c>
      <c r="B376" t="s">
        <v>388</v>
      </c>
      <c r="C376" t="s">
        <v>13</v>
      </c>
      <c r="D376" t="n" s="17">
        <v>0</v>
      </c>
      <c r="E376" t="n" s="17">
        <v>611</v>
      </c>
      <c r="F376" t="n" s="17">
        <v>0</v>
      </c>
      <c r="G376" t="n" s="17">
        <v>0</v>
      </c>
      <c r="H376" t="n" s="17">
        <v>0</v>
      </c>
      <c r="I376" t="n" s="18">
        <v>0.0416</v>
      </c>
      <c r="J376" t="n" s="17">
        <v>31</v>
      </c>
      <c r="K376" t="n" s="19">
        <v>14332.23</v>
      </c>
    </row>
    <row r="377" hidden="0" ht="15" customHeight="1" spans="1:1">
      <c r="A377" t="str" s="16">
        <f>HYPERLINK("https://amazon.com/dp/B08GDBVJXH", "B08GDBVJXH")</f>
      </c>
      <c r="B377" t="s">
        <v>389</v>
      </c>
      <c r="C377" t="s">
        <v>13</v>
      </c>
      <c r="D377" t="n" s="17">
        <v>0</v>
      </c>
      <c r="E377" t="n" s="17">
        <v>0</v>
      </c>
      <c r="F377" t="n" s="17">
        <v>0</v>
      </c>
      <c r="G377" t="n" s="17">
        <v>0</v>
      </c>
      <c r="H377" t="n" s="17">
        <v>0</v>
      </c>
      <c r="I377" t="n" s="18">
        <v>0</v>
      </c>
      <c r="J377" t="n" s="17">
        <v>0</v>
      </c>
      <c r="K377" t="n" s="19">
        <v>0</v>
      </c>
    </row>
    <row r="378" hidden="0" ht="15" customHeight="1" spans="1:1">
      <c r="A378" t="str" s="16">
        <f>HYPERLINK("https://amazon.com/dp/B0CB8Q3X4N", "B0CB8Q3X4N")</f>
      </c>
      <c r="B378" t="s">
        <v>390</v>
      </c>
      <c r="C378" t="s">
        <v>16</v>
      </c>
      <c r="D378" t="n" s="17">
        <v>0</v>
      </c>
      <c r="E378" t="n" s="17">
        <v>272</v>
      </c>
      <c r="F378" t="n" s="17">
        <v>0</v>
      </c>
      <c r="G378" t="n" s="17">
        <v>0</v>
      </c>
      <c r="H378" t="n" s="17">
        <v>0</v>
      </c>
      <c r="I378" t="n" s="18">
        <v>0.1176</v>
      </c>
      <c r="J378" t="n" s="17">
        <v>40</v>
      </c>
      <c r="K378" t="n" s="19">
        <v>29636.8</v>
      </c>
    </row>
    <row r="379" hidden="0" ht="15" customHeight="1" spans="1:1">
      <c r="A379" t="str" s="16">
        <f>HYPERLINK("https://amazon.com/dp/B0DCZWXYR5", "B0DCZWXYR5")</f>
      </c>
      <c r="B379" t="s">
        <v>391</v>
      </c>
      <c r="C379" t="s">
        <v>13</v>
      </c>
      <c r="D379" t="n" s="17">
        <v>0</v>
      </c>
      <c r="E379" t="n" s="17">
        <v>8</v>
      </c>
      <c r="F379" t="n" s="17">
        <v>0</v>
      </c>
      <c r="G379" t="n" s="17">
        <v>0</v>
      </c>
      <c r="H379" t="n" s="17">
        <v>0</v>
      </c>
      <c r="I379" t="n" s="18">
        <v>0</v>
      </c>
      <c r="J379" t="n" s="17">
        <v>0</v>
      </c>
      <c r="K379" t="n" s="19">
        <v>0</v>
      </c>
    </row>
    <row r="380" hidden="0" ht="15" customHeight="1" spans="1:1">
      <c r="A380" t="str" s="16">
        <f>HYPERLINK("https://amazon.com/dp/B003UWXFM0", "B003UWXFM0")</f>
      </c>
      <c r="B380" t="s">
        <v>392</v>
      </c>
      <c r="C380" t="s">
        <v>13</v>
      </c>
      <c r="D380" t="n" s="17">
        <v>0</v>
      </c>
      <c r="E380" t="n" s="17">
        <v>0</v>
      </c>
      <c r="F380" t="n" s="17">
        <v>0</v>
      </c>
      <c r="G380" t="n" s="17">
        <v>0</v>
      </c>
      <c r="H380" t="n" s="17">
        <v>0</v>
      </c>
      <c r="I380" t="n" s="18">
        <v>0</v>
      </c>
      <c r="J380" t="n" s="17">
        <v>0</v>
      </c>
      <c r="K380" t="n" s="19">
        <v>0</v>
      </c>
    </row>
    <row r="381" hidden="0" ht="15" customHeight="1" spans="1:1">
      <c r="A381" t="str" s="16">
        <f>HYPERLINK("https://amazon.com/dp/B0DP4N2J9L", "B0DP4N2J9L")</f>
      </c>
      <c r="B381" t="s">
        <v>393</v>
      </c>
      <c r="C381" t="s">
        <v>13</v>
      </c>
      <c r="D381" t="n" s="17">
        <v>0</v>
      </c>
      <c r="E381" t="n" s="17">
        <v>117</v>
      </c>
      <c r="F381" t="n" s="17">
        <v>0</v>
      </c>
      <c r="G381" t="n" s="17">
        <v>0</v>
      </c>
      <c r="H381" t="n" s="17">
        <v>0</v>
      </c>
      <c r="I381" t="n" s="18">
        <v>0.0508</v>
      </c>
      <c r="J381" t="n" s="17">
        <v>6</v>
      </c>
      <c r="K381" t="n" s="19">
        <v>7494.95</v>
      </c>
    </row>
    <row r="382" hidden="0" ht="15" customHeight="1" spans="1:1">
      <c r="A382" t="str" s="16">
        <f>HYPERLINK("https://amazon.com/dp/B00HNFP4HO", "B00HNFP4HO")</f>
      </c>
      <c r="B382" t="s">
        <v>394</v>
      </c>
      <c r="C382" t="s">
        <v>13</v>
      </c>
      <c r="D382" t="n" s="17">
        <v>0</v>
      </c>
      <c r="E382" t="n" s="17">
        <v>8</v>
      </c>
      <c r="F382" t="n" s="17">
        <v>0</v>
      </c>
      <c r="G382" t="n" s="17">
        <v>0</v>
      </c>
      <c r="H382" t="n" s="17">
        <v>0</v>
      </c>
      <c r="I382" t="n" s="18">
        <v>0.0137</v>
      </c>
      <c r="J382" t="n" s="17">
        <v>1</v>
      </c>
      <c r="K382" t="n" s="19">
        <v>582.5</v>
      </c>
    </row>
    <row r="383" hidden="0" ht="15" customHeight="1" spans="1:1">
      <c r="A383" t="str" s="16">
        <f>HYPERLINK("https://amazon.com/dp/B08GDC99PX", "B08GDC99PX")</f>
      </c>
      <c r="B383" t="s">
        <v>395</v>
      </c>
      <c r="C383" t="s">
        <v>16</v>
      </c>
      <c r="D383" t="n" s="17">
        <v>0</v>
      </c>
      <c r="E383" t="n" s="17">
        <v>0</v>
      </c>
      <c r="F383" t="n" s="17">
        <v>0</v>
      </c>
      <c r="G383" t="n" s="17">
        <v>0</v>
      </c>
      <c r="H383" t="n" s="17">
        <v>0</v>
      </c>
      <c r="I383" t="n" s="18">
        <v>0</v>
      </c>
      <c r="J383" t="n" s="17">
        <v>0</v>
      </c>
      <c r="K383" t="n" s="19">
        <v>0</v>
      </c>
    </row>
    <row r="384" hidden="0" ht="15" customHeight="1" spans="1:1">
      <c r="A384" t="str" s="16">
        <f>HYPERLINK("https://amazon.com/dp/B0C3XLCD3X", "B0C3XLCD3X")</f>
      </c>
      <c r="B384" t="s">
        <v>396</v>
      </c>
      <c r="C384" t="s">
        <v>13</v>
      </c>
      <c r="D384" t="n" s="17">
        <v>0</v>
      </c>
      <c r="E384" t="n" s="17">
        <v>49</v>
      </c>
      <c r="F384" t="n" s="17">
        <v>0</v>
      </c>
      <c r="G384" t="n" s="17">
        <v>0</v>
      </c>
      <c r="H384" t="n" s="17">
        <v>0</v>
      </c>
      <c r="I384" t="n" s="18">
        <v>0.02</v>
      </c>
      <c r="J384" t="n" s="17">
        <v>1</v>
      </c>
      <c r="K384" t="n" s="19">
        <v>5689.17</v>
      </c>
    </row>
    <row r="385" hidden="0" ht="15" customHeight="1" spans="1:1">
      <c r="A385" t="str" s="16">
        <f>HYPERLINK("https://amazon.com/dp/B0CQD8L8NM", "B0CQD8L8NM")</f>
      </c>
      <c r="B385" t="s">
        <v>397</v>
      </c>
      <c r="C385" t="s">
        <v>29</v>
      </c>
      <c r="D385" t="n" s="17">
        <v>0</v>
      </c>
      <c r="E385" t="n" s="17">
        <v>0</v>
      </c>
      <c r="F385" t="n" s="17">
        <v>0</v>
      </c>
      <c r="G385" t="n" s="17">
        <v>0</v>
      </c>
      <c r="H385" t="n" s="17">
        <v>0</v>
      </c>
      <c r="I385" t="n" s="18">
        <v>0</v>
      </c>
      <c r="J385" t="n" s="17">
        <v>0</v>
      </c>
      <c r="K385" t="n" s="19">
        <v>0</v>
      </c>
    </row>
    <row r="386" hidden="0" ht="15" customHeight="1" spans="1:1">
      <c r="A386" t="str" s="16">
        <f>HYPERLINK("https://amazon.com/dp/B0711ZS29Y", "B0711ZS29Y")</f>
      </c>
      <c r="B386" t="s">
        <v>398</v>
      </c>
      <c r="C386" t="s">
        <v>13</v>
      </c>
      <c r="D386" t="n" s="17">
        <v>0</v>
      </c>
      <c r="E386" t="n" s="17">
        <v>0</v>
      </c>
      <c r="F386" t="n" s="17">
        <v>0</v>
      </c>
      <c r="G386" t="n" s="17">
        <v>0</v>
      </c>
      <c r="H386" t="n" s="17">
        <v>0</v>
      </c>
      <c r="I386" t="n" s="18">
        <v>0</v>
      </c>
      <c r="J386" t="n" s="17">
        <v>0</v>
      </c>
      <c r="K386" t="n" s="19">
        <v>0</v>
      </c>
    </row>
    <row r="387" hidden="0" ht="15" customHeight="1" spans="1:1">
      <c r="A387" t="str" s="16">
        <f>HYPERLINK("https://amazon.com/dp/B0C3D3G42H", "B0C3D3G42H")</f>
      </c>
      <c r="B387" t="s">
        <v>399</v>
      </c>
      <c r="C387" t="s">
        <v>13</v>
      </c>
      <c r="D387" t="n" s="17">
        <v>0</v>
      </c>
      <c r="E387" t="n" s="17">
        <v>54</v>
      </c>
      <c r="F387" t="n" s="17">
        <v>0</v>
      </c>
      <c r="G387" t="n" s="17">
        <v>0</v>
      </c>
      <c r="H387" t="n" s="17">
        <v>0</v>
      </c>
      <c r="I387" t="n" s="18">
        <v>0.057999999999999996</v>
      </c>
      <c r="J387" t="n" s="17">
        <v>4</v>
      </c>
      <c r="K387" t="n" s="19">
        <v>4563.32</v>
      </c>
    </row>
    <row r="388" hidden="0" ht="15" customHeight="1" spans="1:1">
      <c r="A388" t="str" s="16">
        <f>HYPERLINK("https://amazon.com/dp/B09BMXXW6N", "B09BMXXW6N")</f>
      </c>
      <c r="B388" t="s">
        <v>400</v>
      </c>
      <c r="C388" t="s">
        <v>13</v>
      </c>
      <c r="D388" t="n" s="17">
        <v>0</v>
      </c>
      <c r="E388" t="n" s="17">
        <v>722</v>
      </c>
      <c r="F388" t="n" s="17">
        <v>0</v>
      </c>
      <c r="G388" t="n" s="17">
        <v>0</v>
      </c>
      <c r="H388" t="n" s="17">
        <v>0</v>
      </c>
      <c r="I388" t="n" s="18">
        <v>0.045</v>
      </c>
      <c r="J388" t="n" s="17">
        <v>33</v>
      </c>
      <c r="K388" t="n" s="19">
        <v>70058.01</v>
      </c>
    </row>
    <row r="389" hidden="0" ht="15" customHeight="1" spans="1:1">
      <c r="A389" t="str" s="16">
        <f>HYPERLINK("https://amazon.com/dp/B0DXV1P593", "B0DXV1P593")</f>
      </c>
      <c r="B389" t="s">
        <v>401</v>
      </c>
      <c r="C389" t="s">
        <v>16</v>
      </c>
      <c r="D389" t="n" s="17">
        <v>0</v>
      </c>
      <c r="E389" t="n" s="17">
        <v>1166</v>
      </c>
      <c r="F389" t="n" s="17">
        <v>0</v>
      </c>
      <c r="G389" t="n" s="17">
        <v>0</v>
      </c>
      <c r="H389" t="n" s="17">
        <v>0</v>
      </c>
      <c r="I389" t="n" s="18">
        <v>0.1009</v>
      </c>
      <c r="J389" t="n" s="17">
        <v>120</v>
      </c>
      <c r="K389" t="n" s="19">
        <v>174255.64</v>
      </c>
    </row>
    <row r="390" hidden="0" ht="15" customHeight="1" spans="1:1">
      <c r="A390" t="str" s="16">
        <f>HYPERLINK("https://amazon.com/dp/B0GGVD5RB3", "B0GGVD5RB3")</f>
      </c>
      <c r="B390" t="s">
        <v>402</v>
      </c>
      <c r="C390" t="s">
        <v>16</v>
      </c>
      <c r="D390" t="n" s="17">
        <v>0</v>
      </c>
      <c r="E390" t="n" s="17">
        <v>36</v>
      </c>
      <c r="F390" t="n" s="17">
        <v>0</v>
      </c>
      <c r="G390" t="n" s="17">
        <v>0</v>
      </c>
      <c r="H390" t="n" s="17">
        <v>0</v>
      </c>
      <c r="I390" t="n" s="18">
        <v>0.0556</v>
      </c>
      <c r="J390" t="n" s="17">
        <v>2</v>
      </c>
      <c r="K390" t="n" s="19">
        <v>2400.3</v>
      </c>
    </row>
    <row r="391" hidden="0" ht="15" customHeight="1" spans="1:1">
      <c r="A391" t="str" s="16">
        <f>HYPERLINK("https://amazon.com/dp/B01BPFKNNM", "B01BPFKNNM")</f>
      </c>
      <c r="B391" t="s">
        <v>403</v>
      </c>
      <c r="C391" t="s">
        <v>13</v>
      </c>
      <c r="D391" t="n" s="17">
        <v>0</v>
      </c>
      <c r="E391" t="n" s="17">
        <v>5</v>
      </c>
      <c r="F391" t="n" s="17">
        <v>0</v>
      </c>
      <c r="G391" t="n" s="17">
        <v>0</v>
      </c>
      <c r="H391" t="n" s="17">
        <v>0</v>
      </c>
      <c r="I391" t="n" s="18">
        <v>0.0741</v>
      </c>
      <c r="J391" t="n" s="17">
        <v>2</v>
      </c>
      <c r="K391" t="n" s="19">
        <v>4212.06</v>
      </c>
    </row>
    <row r="392" hidden="0" ht="15" customHeight="1" spans="1:1">
      <c r="A392" t="str" s="16">
        <f>HYPERLINK("https://amazon.com/dp/B00A8GVNNY", "B00A8GVNNY")</f>
      </c>
      <c r="B392" t="s">
        <v>404</v>
      </c>
      <c r="C392" t="s">
        <v>13</v>
      </c>
      <c r="D392" t="n" s="17">
        <v>0</v>
      </c>
      <c r="E392" t="n" s="17">
        <v>11</v>
      </c>
      <c r="F392" t="n" s="17">
        <v>0</v>
      </c>
      <c r="G392" t="n" s="17">
        <v>0</v>
      </c>
      <c r="H392" t="n" s="17">
        <v>0</v>
      </c>
      <c r="I392" t="n" s="18">
        <v>0</v>
      </c>
      <c r="J392" t="n" s="17">
        <v>0</v>
      </c>
      <c r="K392" t="n" s="19">
        <v>0</v>
      </c>
    </row>
    <row r="393" hidden="0" ht="15" customHeight="1" spans="1:1">
      <c r="A393" t="str" s="16">
        <f>HYPERLINK("https://amazon.com/dp/B01MD1SKLL", "B01MD1SKLL")</f>
      </c>
      <c r="B393" t="s">
        <v>405</v>
      </c>
      <c r="C393" t="s">
        <v>13</v>
      </c>
      <c r="D393" t="n" s="17">
        <v>0</v>
      </c>
      <c r="E393" t="n" s="17">
        <v>100</v>
      </c>
      <c r="F393" t="n" s="17">
        <v>0</v>
      </c>
      <c r="G393" t="n" s="17">
        <v>0</v>
      </c>
      <c r="H393" t="n" s="17">
        <v>0</v>
      </c>
      <c r="I393" t="n" s="18">
        <v>0.013500000000000002</v>
      </c>
      <c r="J393" t="n" s="17">
        <v>4</v>
      </c>
      <c r="K393" t="n" s="19">
        <v>4380.02</v>
      </c>
    </row>
    <row r="394" hidden="0" ht="15" customHeight="1" spans="1:1">
      <c r="A394" t="str" s="16">
        <f>HYPERLINK("https://amazon.com/dp/B01M1VAY45", "B01M1VAY45")</f>
      </c>
      <c r="B394" t="s">
        <v>406</v>
      </c>
      <c r="C394" t="s">
        <v>13</v>
      </c>
      <c r="D394" t="n" s="17">
        <v>0</v>
      </c>
      <c r="E394" t="n" s="17">
        <v>5</v>
      </c>
      <c r="F394" t="n" s="17">
        <v>0</v>
      </c>
      <c r="G394" t="n" s="17">
        <v>0</v>
      </c>
      <c r="H394" t="n" s="17">
        <v>0</v>
      </c>
      <c r="I394" t="n" s="18">
        <v>0</v>
      </c>
      <c r="J394" t="n" s="17">
        <v>0</v>
      </c>
      <c r="K394" t="n" s="19">
        <v>0</v>
      </c>
    </row>
    <row r="395" hidden="0" ht="15" customHeight="1" spans="1:1">
      <c r="A395" t="str" s="16">
        <f>HYPERLINK("https://amazon.com/dp/B07TP62GWK", "B07TP62GWK")</f>
      </c>
      <c r="B395" t="s">
        <v>407</v>
      </c>
      <c r="C395" t="s">
        <v>13</v>
      </c>
      <c r="D395" t="n" s="17">
        <v>0</v>
      </c>
      <c r="E395" t="n" s="17">
        <v>142</v>
      </c>
      <c r="F395" t="n" s="17">
        <v>0</v>
      </c>
      <c r="G395" t="n" s="17">
        <v>0</v>
      </c>
      <c r="H395" t="n" s="17">
        <v>0</v>
      </c>
      <c r="I395" t="n" s="18">
        <v>0</v>
      </c>
      <c r="J395" t="n" s="17">
        <v>0</v>
      </c>
      <c r="K395" t="n" s="19">
        <v>0</v>
      </c>
    </row>
    <row r="396" hidden="0" ht="15" customHeight="1" spans="1:1">
      <c r="A396" t="str" s="16">
        <f>HYPERLINK("https://amazon.com/dp/B0CCW8GHT8", "B0CCW8GHT8")</f>
      </c>
      <c r="B396" t="s">
        <v>408</v>
      </c>
      <c r="C396" t="s">
        <v>16</v>
      </c>
      <c r="D396" t="n" s="17">
        <v>0</v>
      </c>
      <c r="E396" t="n" s="17">
        <v>0</v>
      </c>
      <c r="F396" t="n" s="17">
        <v>0</v>
      </c>
      <c r="G396" t="n" s="17">
        <v>0</v>
      </c>
      <c r="H396" t="n" s="17">
        <v>0</v>
      </c>
      <c r="I396" t="n" s="18">
        <v>0</v>
      </c>
      <c r="J396" t="n" s="17">
        <v>0</v>
      </c>
      <c r="K396" t="n" s="19">
        <v>0</v>
      </c>
    </row>
    <row r="397" hidden="0" ht="15" customHeight="1" spans="1:1">
      <c r="A397" t="str" s="16">
        <f>HYPERLINK("https://amazon.com/dp/980035980X", "980035980X")</f>
      </c>
      <c r="B397" t="s">
        <v>409</v>
      </c>
      <c r="C397" t="s">
        <v>13</v>
      </c>
      <c r="D397" t="n" s="17">
        <v>0</v>
      </c>
      <c r="E397" t="n" s="17">
        <v>5</v>
      </c>
      <c r="F397" t="n" s="17">
        <v>0</v>
      </c>
      <c r="G397" t="n" s="17">
        <v>0</v>
      </c>
      <c r="H397" t="n" s="17">
        <v>0</v>
      </c>
      <c r="I397" t="n" s="18">
        <v>0.05</v>
      </c>
      <c r="J397" t="n" s="17">
        <v>1</v>
      </c>
      <c r="K397" t="n" s="19">
        <v>1932.5</v>
      </c>
    </row>
    <row r="398" hidden="0" ht="15" customHeight="1" spans="1:1">
      <c r="A398" t="str" s="16">
        <f>HYPERLINK("https://amazon.com/dp/B07G37CZMH", "B07G37CZMH")</f>
      </c>
      <c r="B398" t="s">
        <v>410</v>
      </c>
      <c r="C398" t="s">
        <v>13</v>
      </c>
      <c r="D398" t="n" s="17">
        <v>0</v>
      </c>
      <c r="E398" t="n" s="17">
        <v>0</v>
      </c>
      <c r="F398" t="n" s="17">
        <v>0</v>
      </c>
      <c r="G398" t="n" s="17">
        <v>0</v>
      </c>
      <c r="H398" t="n" s="17">
        <v>0</v>
      </c>
      <c r="I398" t="n" s="18">
        <v>0</v>
      </c>
      <c r="J398" t="n" s="17">
        <v>0</v>
      </c>
      <c r="K398" t="n" s="19">
        <v>0</v>
      </c>
    </row>
    <row r="399" hidden="0" ht="15" customHeight="1" spans="1:1">
      <c r="A399" t="str" s="16">
        <f>HYPERLINK("https://amazon.com/dp/B0CHFFKF4F", "B0CHFFKF4F")</f>
      </c>
      <c r="B399" t="s">
        <v>411</v>
      </c>
      <c r="C399" t="s">
        <v>13</v>
      </c>
      <c r="D399" t="n" s="17">
        <v>0</v>
      </c>
      <c r="E399" t="n" s="17">
        <v>135</v>
      </c>
      <c r="F399" t="n" s="17">
        <v>0</v>
      </c>
      <c r="G399" t="n" s="17">
        <v>0</v>
      </c>
      <c r="H399" t="n" s="17">
        <v>0</v>
      </c>
      <c r="I399" t="n" s="18">
        <v>0.10949999999999999</v>
      </c>
      <c r="J399" t="n" s="17">
        <v>15</v>
      </c>
      <c r="K399" t="n" s="19">
        <v>16177.08</v>
      </c>
    </row>
    <row r="400" hidden="0" ht="15" customHeight="1" spans="1:1">
      <c r="A400" t="str" s="16">
        <f>HYPERLINK("https://amazon.com/dp/B0DQPPZTJY", "B0DQPPZTJY")</f>
      </c>
      <c r="B400" t="s">
        <v>412</v>
      </c>
      <c r="C400" t="s">
        <v>13</v>
      </c>
      <c r="D400" t="n" s="17">
        <v>0</v>
      </c>
      <c r="E400" t="n" s="17">
        <v>14</v>
      </c>
      <c r="F400" t="n" s="17">
        <v>0</v>
      </c>
      <c r="G400" t="n" s="17">
        <v>0</v>
      </c>
      <c r="H400" t="n" s="17">
        <v>0</v>
      </c>
      <c r="I400" t="n" s="18">
        <v>0</v>
      </c>
      <c r="J400" t="n" s="17">
        <v>0</v>
      </c>
      <c r="K400" t="n" s="19">
        <v>0</v>
      </c>
    </row>
    <row r="401" hidden="0" ht="15" customHeight="1" spans="1:1">
      <c r="A401" t="str" s="16">
        <f>HYPERLINK("https://amazon.com/dp/B08KGWRDLQ", "B08KGWRDLQ")</f>
      </c>
      <c r="B401" t="s">
        <v>413</v>
      </c>
      <c r="C401" t="s">
        <v>13</v>
      </c>
      <c r="D401" t="n" s="17">
        <v>0</v>
      </c>
      <c r="E401" t="n" s="17">
        <v>0</v>
      </c>
      <c r="F401" t="n" s="17">
        <v>0</v>
      </c>
      <c r="G401" t="n" s="17">
        <v>0</v>
      </c>
      <c r="H401" t="n" s="17">
        <v>0</v>
      </c>
      <c r="I401" t="n" s="18">
        <v>0</v>
      </c>
      <c r="J401" t="n" s="17">
        <v>0</v>
      </c>
      <c r="K401" t="n" s="19">
        <v>0</v>
      </c>
    </row>
    <row r="402" hidden="0" ht="15" customHeight="1" spans="1:1">
      <c r="A402" t="str" s="16">
        <f>HYPERLINK("https://amazon.com/dp/B07P7KM4Y6", "B07P7KM4Y6")</f>
      </c>
      <c r="B402" t="s">
        <v>414</v>
      </c>
      <c r="C402" t="s">
        <v>13</v>
      </c>
      <c r="D402" t="n" s="17">
        <v>0</v>
      </c>
      <c r="E402" t="n" s="17">
        <v>89</v>
      </c>
      <c r="F402" t="n" s="17">
        <v>0</v>
      </c>
      <c r="G402" t="n" s="17">
        <v>0</v>
      </c>
      <c r="H402" t="n" s="17">
        <v>0</v>
      </c>
      <c r="I402" t="n" s="18">
        <v>0.0013</v>
      </c>
      <c r="J402" t="n" s="17">
        <v>1</v>
      </c>
      <c r="K402" t="n" s="19">
        <v>2192.92</v>
      </c>
    </row>
    <row r="403" hidden="0" ht="15" customHeight="1" spans="1:1">
      <c r="A403" t="str" s="16">
        <f>HYPERLINK("https://amazon.com/dp/B0FMQTXM9G", "B0FMQTXM9G")</f>
      </c>
      <c r="B403" t="s">
        <v>415</v>
      </c>
      <c r="C403" t="s">
        <v>13</v>
      </c>
      <c r="D403" t="n" s="17">
        <v>0</v>
      </c>
      <c r="E403" t="n" s="17">
        <v>0</v>
      </c>
      <c r="F403" t="n" s="17">
        <v>0</v>
      </c>
      <c r="G403" t="n" s="17">
        <v>0</v>
      </c>
      <c r="H403" t="n" s="17">
        <v>0</v>
      </c>
      <c r="I403" t="n" s="18">
        <v>0</v>
      </c>
      <c r="J403" t="n" s="17">
        <v>0</v>
      </c>
      <c r="K403" t="n" s="19">
        <v>0</v>
      </c>
    </row>
    <row r="404" hidden="0" ht="15" customHeight="1" spans="1:1">
      <c r="A404" t="str" s="16">
        <f>HYPERLINK("https://amazon.com/dp/B00KXULGJQ", "B00KXULGJQ")</f>
      </c>
      <c r="B404" t="s">
        <v>416</v>
      </c>
      <c r="C404" t="s">
        <v>13</v>
      </c>
      <c r="D404" t="n" s="17">
        <v>0</v>
      </c>
      <c r="E404" t="n" s="17">
        <v>457</v>
      </c>
      <c r="F404" t="n" s="17">
        <v>0</v>
      </c>
      <c r="G404" t="n" s="17">
        <v>0</v>
      </c>
      <c r="H404" t="n" s="17">
        <v>0</v>
      </c>
      <c r="I404" t="n" s="18">
        <v>0.062400000000000004</v>
      </c>
      <c r="J404" t="n" s="17">
        <v>29</v>
      </c>
      <c r="K404" t="n" s="19">
        <v>25820.58</v>
      </c>
    </row>
    <row r="405" hidden="0" ht="15" customHeight="1" spans="1:1">
      <c r="A405" t="str" s="16">
        <f>HYPERLINK("https://amazon.com/dp/B0FG2NF3HT", "B0FG2NF3HT")</f>
      </c>
      <c r="B405" t="s">
        <v>417</v>
      </c>
      <c r="C405" t="s">
        <v>13</v>
      </c>
      <c r="D405" t="n" s="17">
        <v>0</v>
      </c>
      <c r="E405" t="n" s="17">
        <v>0</v>
      </c>
      <c r="F405" t="n" s="17">
        <v>0</v>
      </c>
      <c r="G405" t="n" s="17">
        <v>0</v>
      </c>
      <c r="H405" t="n" s="17">
        <v>0</v>
      </c>
      <c r="I405" t="n" s="18">
        <v>0</v>
      </c>
      <c r="J405" t="n" s="17">
        <v>0</v>
      </c>
      <c r="K405" t="n" s="19">
        <v>0</v>
      </c>
    </row>
    <row r="406" hidden="0" ht="15" customHeight="1" spans="1:1">
      <c r="A406" t="str" s="16">
        <f>HYPERLINK("https://amazon.com/dp/B0FKBPYFFZ", "B0FKBPYFFZ")</f>
      </c>
      <c r="B406" t="s">
        <v>418</v>
      </c>
      <c r="C406" t="s">
        <v>16</v>
      </c>
      <c r="D406" t="n" s="17">
        <v>0</v>
      </c>
      <c r="E406" t="n" s="17">
        <v>395</v>
      </c>
      <c r="F406" t="n" s="17">
        <v>0</v>
      </c>
      <c r="G406" t="n" s="17">
        <v>0</v>
      </c>
      <c r="H406" t="n" s="17">
        <v>0</v>
      </c>
      <c r="I406" t="n" s="18">
        <v>0</v>
      </c>
      <c r="J406" t="n" s="17">
        <v>0</v>
      </c>
      <c r="K406" t="n" s="19">
        <v>0</v>
      </c>
    </row>
    <row r="407" hidden="0" ht="15" customHeight="1" spans="1:1">
      <c r="A407" t="str" s="16">
        <f>HYPERLINK("https://amazon.com/dp/B0CVRTS362", "B0CVRTS362")</f>
      </c>
      <c r="B407" t="s">
        <v>419</v>
      </c>
      <c r="C407" t="s">
        <v>13</v>
      </c>
      <c r="D407" t="n" s="17">
        <v>0</v>
      </c>
      <c r="E407" t="n" s="17">
        <v>0</v>
      </c>
      <c r="F407" t="n" s="17">
        <v>0</v>
      </c>
      <c r="G407" t="n" s="17">
        <v>0</v>
      </c>
      <c r="H407" t="n" s="17">
        <v>0</v>
      </c>
      <c r="I407" t="n" s="18">
        <v>0</v>
      </c>
      <c r="J407" t="n" s="17">
        <v>0</v>
      </c>
      <c r="K407" t="n" s="19">
        <v>0</v>
      </c>
    </row>
    <row r="408" hidden="0" ht="15" customHeight="1" spans="1:1">
      <c r="A408" t="str" s="16">
        <f>HYPERLINK("https://amazon.com/dp/B0FG2MD49G", "B0FG2MD49G")</f>
      </c>
      <c r="B408" t="s">
        <v>420</v>
      </c>
      <c r="C408" t="s">
        <v>13</v>
      </c>
      <c r="D408" t="n" s="17">
        <v>0</v>
      </c>
      <c r="E408" t="n" s="17">
        <v>66</v>
      </c>
      <c r="F408" t="n" s="17">
        <v>0</v>
      </c>
      <c r="G408" t="n" s="17">
        <v>0</v>
      </c>
      <c r="H408" t="n" s="17">
        <v>0</v>
      </c>
      <c r="I408" t="n" s="18">
        <v>0</v>
      </c>
      <c r="J408" t="n" s="17">
        <v>0</v>
      </c>
      <c r="K408" t="n" s="19">
        <v>0</v>
      </c>
    </row>
    <row r="409" hidden="0" ht="15" customHeight="1" spans="1:1">
      <c r="A409" t="str" s="16">
        <f>HYPERLINK("https://amazon.com/dp/B09PRG6MJX", "B09PRG6MJX")</f>
      </c>
      <c r="B409" t="s">
        <v>421</v>
      </c>
      <c r="C409" t="s">
        <v>13</v>
      </c>
      <c r="D409" t="n" s="17">
        <v>0</v>
      </c>
      <c r="E409" t="n" s="17">
        <v>518</v>
      </c>
      <c r="F409" t="n" s="17">
        <v>0</v>
      </c>
      <c r="G409" t="n" s="17">
        <v>0</v>
      </c>
      <c r="H409" t="n" s="17">
        <v>0</v>
      </c>
      <c r="I409" t="n" s="18">
        <v>0.0516</v>
      </c>
      <c r="J409" t="n" s="17">
        <v>27</v>
      </c>
      <c r="K409" t="n" s="19">
        <v>53799.39</v>
      </c>
    </row>
    <row r="410" hidden="0" ht="15" customHeight="1" spans="1:1">
      <c r="A410" t="str" s="16">
        <f>HYPERLINK("https://amazon.com/dp/B0F889ZMC5", "B0F889ZMC5")</f>
      </c>
      <c r="B410" t="s">
        <v>422</v>
      </c>
      <c r="C410" t="s">
        <v>16</v>
      </c>
      <c r="D410" t="n" s="17">
        <v>0</v>
      </c>
      <c r="E410" t="n" s="17">
        <v>0</v>
      </c>
      <c r="F410" t="n" s="17">
        <v>0</v>
      </c>
      <c r="G410" t="n" s="17">
        <v>0</v>
      </c>
      <c r="H410" t="n" s="17">
        <v>0</v>
      </c>
      <c r="I410" t="n" s="18">
        <v>0</v>
      </c>
      <c r="J410" t="n" s="17">
        <v>0</v>
      </c>
      <c r="K410" t="n" s="19">
        <v>0</v>
      </c>
    </row>
    <row r="411" hidden="0" ht="15" customHeight="1" spans="1:1">
      <c r="A411" t="str" s="16">
        <f>HYPERLINK("https://amazon.com/dp/B0FC2NPY55", "B0FC2NPY55")</f>
      </c>
      <c r="B411" t="s">
        <v>423</v>
      </c>
      <c r="C411" t="s">
        <v>29</v>
      </c>
      <c r="D411" t="n" s="17">
        <v>0</v>
      </c>
      <c r="E411" t="n" s="17">
        <v>3</v>
      </c>
      <c r="F411" t="n" s="17">
        <v>0</v>
      </c>
      <c r="G411" t="n" s="17">
        <v>0</v>
      </c>
      <c r="H411" t="n" s="17">
        <v>0</v>
      </c>
      <c r="I411" t="n" s="18">
        <v>0</v>
      </c>
      <c r="J411" t="n" s="17">
        <v>0</v>
      </c>
      <c r="K411" t="n" s="19">
        <v>0</v>
      </c>
    </row>
    <row r="412" hidden="0" ht="15" customHeight="1" spans="1:1">
      <c r="A412" t="str" s="16">
        <f>HYPERLINK("https://amazon.com/dp/B09KRVN7XG", "B09KRVN7XG")</f>
      </c>
      <c r="B412" t="s">
        <v>424</v>
      </c>
      <c r="C412" t="s">
        <v>16</v>
      </c>
      <c r="D412" t="n" s="17">
        <v>0</v>
      </c>
      <c r="E412" t="n" s="17">
        <v>0</v>
      </c>
      <c r="F412" t="n" s="17">
        <v>0</v>
      </c>
      <c r="G412" t="n" s="17">
        <v>0</v>
      </c>
      <c r="H412" t="n" s="17">
        <v>0</v>
      </c>
      <c r="I412" t="n" s="18">
        <v>0</v>
      </c>
      <c r="J412" t="n" s="17">
        <v>0</v>
      </c>
      <c r="K412" t="n" s="19">
        <v>0</v>
      </c>
    </row>
    <row r="413" hidden="0" ht="15" customHeight="1" spans="1:1">
      <c r="A413" t="str" s="16">
        <f>HYPERLINK("https://amazon.com/dp/B0036AFAEW", "B0036AFAEW")</f>
      </c>
      <c r="B413" t="s">
        <v>425</v>
      </c>
      <c r="C413" t="s">
        <v>13</v>
      </c>
      <c r="D413" t="n" s="17">
        <v>0</v>
      </c>
      <c r="E413" t="n" s="17">
        <v>0</v>
      </c>
      <c r="F413" t="n" s="17">
        <v>0</v>
      </c>
      <c r="G413" t="n" s="17">
        <v>0</v>
      </c>
      <c r="H413" t="n" s="17">
        <v>0</v>
      </c>
      <c r="I413" t="n" s="18">
        <v>0</v>
      </c>
      <c r="J413" t="n" s="17">
        <v>0</v>
      </c>
      <c r="K413" t="n" s="19">
        <v>0</v>
      </c>
    </row>
    <row r="414" hidden="0" ht="15" customHeight="1" spans="1:1">
      <c r="A414" t="str" s="16">
        <f>HYPERLINK("https://amazon.com/dp/B09BMLJ9YD", "B09BMLJ9YD")</f>
      </c>
      <c r="B414" t="s">
        <v>426</v>
      </c>
      <c r="C414" t="s">
        <v>13</v>
      </c>
      <c r="D414" t="n" s="17">
        <v>0</v>
      </c>
      <c r="E414" t="n" s="17">
        <v>0</v>
      </c>
      <c r="F414" t="n" s="17">
        <v>0</v>
      </c>
      <c r="G414" t="n" s="17">
        <v>0</v>
      </c>
      <c r="H414" t="n" s="17">
        <v>0</v>
      </c>
      <c r="I414" t="n" s="18">
        <v>0</v>
      </c>
      <c r="J414" t="n" s="17">
        <v>0</v>
      </c>
      <c r="K414" t="n" s="19">
        <v>0</v>
      </c>
    </row>
    <row r="415" hidden="0" ht="15" customHeight="1" spans="1:1">
      <c r="A415" t="str" s="16">
        <f>HYPERLINK("https://amazon.com/dp/B0DQV76SR6", "B0DQV76SR6")</f>
      </c>
      <c r="B415" t="s">
        <v>427</v>
      </c>
      <c r="C415" t="s">
        <v>13</v>
      </c>
      <c r="D415" t="n" s="17">
        <v>0</v>
      </c>
      <c r="E415" t="n" s="17">
        <v>0</v>
      </c>
      <c r="F415" t="n" s="17">
        <v>0</v>
      </c>
      <c r="G415" t="n" s="17">
        <v>0</v>
      </c>
      <c r="H415" t="n" s="17">
        <v>0</v>
      </c>
      <c r="I415" t="n" s="18">
        <v>0</v>
      </c>
      <c r="J415" t="n" s="17">
        <v>0</v>
      </c>
      <c r="K415" t="n" s="19">
        <v>0</v>
      </c>
    </row>
    <row r="416" hidden="0" ht="15" customHeight="1" spans="1:1">
      <c r="A416" t="str" s="16">
        <f>HYPERLINK("https://amazon.com/dp/B0F1Z4M7BN", "B0F1Z4M7BN")</f>
      </c>
      <c r="B416" t="s">
        <v>428</v>
      </c>
      <c r="C416" t="s">
        <v>13</v>
      </c>
      <c r="D416" t="n" s="17">
        <v>0</v>
      </c>
      <c r="E416" t="n" s="17">
        <v>0</v>
      </c>
      <c r="F416" t="n" s="17">
        <v>0</v>
      </c>
      <c r="G416" t="n" s="17">
        <v>0</v>
      </c>
      <c r="H416" t="n" s="17">
        <v>0</v>
      </c>
      <c r="I416" t="n" s="18">
        <v>0</v>
      </c>
      <c r="J416" t="n" s="17">
        <v>0</v>
      </c>
      <c r="K416" t="n" s="19">
        <v>0</v>
      </c>
    </row>
    <row r="417" hidden="0" ht="15" customHeight="1" spans="1:1">
      <c r="A417" t="str" s="16">
        <f>HYPERLINK("https://amazon.com/dp/B08MH4VLR3", "B08MH4VLR3")</f>
      </c>
      <c r="B417" t="s">
        <v>429</v>
      </c>
      <c r="C417" t="s">
        <v>13</v>
      </c>
      <c r="D417" t="n" s="17">
        <v>0</v>
      </c>
      <c r="E417" t="n" s="17">
        <v>2</v>
      </c>
      <c r="F417" t="n" s="17">
        <v>0</v>
      </c>
      <c r="G417" t="n" s="17">
        <v>0</v>
      </c>
      <c r="H417" t="n" s="17">
        <v>0</v>
      </c>
      <c r="I417" t="n" s="18">
        <v>0</v>
      </c>
      <c r="J417" t="n" s="17">
        <v>0</v>
      </c>
      <c r="K417" t="n" s="19">
        <v>0</v>
      </c>
    </row>
    <row r="418" hidden="0" ht="15" customHeight="1" spans="1:1">
      <c r="A418" t="str" s="16">
        <f>HYPERLINK("https://amazon.com/dp/B0F1911GJ8", "B0F1911GJ8")</f>
      </c>
      <c r="B418" t="s">
        <v>430</v>
      </c>
      <c r="C418" t="s">
        <v>16</v>
      </c>
      <c r="D418" t="n" s="17">
        <v>0</v>
      </c>
      <c r="E418" t="n" s="17">
        <v>2</v>
      </c>
      <c r="F418" t="n" s="17">
        <v>0</v>
      </c>
      <c r="G418" t="n" s="17">
        <v>0</v>
      </c>
      <c r="H418" t="n" s="17">
        <v>0</v>
      </c>
      <c r="I418" t="n" s="18">
        <v>0</v>
      </c>
      <c r="J418" t="n" s="17">
        <v>0</v>
      </c>
      <c r="K418" t="n" s="19">
        <v>0</v>
      </c>
    </row>
    <row r="419" hidden="0" ht="15" customHeight="1" spans="1:1">
      <c r="A419" t="str" s="16">
        <f>HYPERLINK("https://amazon.com/dp/B01D6R2WR2", "B01D6R2WR2")</f>
      </c>
      <c r="B419" t="s">
        <v>431</v>
      </c>
      <c r="C419" t="s">
        <v>13</v>
      </c>
      <c r="D419" t="n" s="17">
        <v>0</v>
      </c>
      <c r="E419" t="n" s="17">
        <v>0</v>
      </c>
      <c r="F419" t="n" s="17">
        <v>0</v>
      </c>
      <c r="G419" t="n" s="17">
        <v>0</v>
      </c>
      <c r="H419" t="n" s="17">
        <v>0</v>
      </c>
      <c r="I419" t="n" s="18">
        <v>0</v>
      </c>
      <c r="J419" t="n" s="17">
        <v>0</v>
      </c>
      <c r="K419" t="n" s="19">
        <v>0</v>
      </c>
    </row>
    <row r="420" hidden="0" ht="15" customHeight="1" spans="1:1">
      <c r="A420" t="str" s="16">
        <f>HYPERLINK("https://amazon.com/dp/B0FLQ4LTMF", "B0FLQ4LTMF")</f>
      </c>
      <c r="B420" t="s">
        <v>432</v>
      </c>
      <c r="C420" t="s">
        <v>16</v>
      </c>
      <c r="D420" t="n" s="17">
        <v>0</v>
      </c>
      <c r="E420" t="n" s="17">
        <v>24</v>
      </c>
      <c r="F420" t="n" s="17">
        <v>0</v>
      </c>
      <c r="G420" t="n" s="17">
        <v>0</v>
      </c>
      <c r="H420" t="n" s="17">
        <v>0</v>
      </c>
      <c r="I420" t="n" s="18">
        <v>0</v>
      </c>
      <c r="J420" t="n" s="17">
        <v>0</v>
      </c>
      <c r="K420" t="n" s="19">
        <v>0</v>
      </c>
    </row>
    <row r="421" hidden="0" ht="15" customHeight="1" spans="1:1">
      <c r="A421" t="str" s="16">
        <f>HYPERLINK("https://amazon.com/dp/B0D6W3T4M3", "B0D6W3T4M3")</f>
      </c>
      <c r="B421" t="s">
        <v>433</v>
      </c>
      <c r="C421" t="s">
        <v>13</v>
      </c>
      <c r="D421" t="n" s="17">
        <v>0</v>
      </c>
      <c r="E421" t="n" s="17">
        <v>0</v>
      </c>
      <c r="F421" t="n" s="17">
        <v>0</v>
      </c>
      <c r="G421" t="n" s="17">
        <v>0</v>
      </c>
      <c r="H421" t="n" s="17">
        <v>0</v>
      </c>
      <c r="I421" t="n" s="18">
        <v>0</v>
      </c>
      <c r="J421" t="n" s="17">
        <v>0</v>
      </c>
      <c r="K421" t="n" s="19">
        <v>0</v>
      </c>
    </row>
    <row r="422" hidden="0" ht="15" customHeight="1" spans="1:1">
      <c r="A422" t="str" s="16">
        <f>HYPERLINK("https://amazon.com/dp/B083V41T6M", "B083V41T6M")</f>
      </c>
      <c r="B422" t="s">
        <v>434</v>
      </c>
      <c r="C422" t="s">
        <v>16</v>
      </c>
      <c r="D422" t="n" s="17">
        <v>0</v>
      </c>
      <c r="E422" t="n" s="17">
        <v>0</v>
      </c>
      <c r="F422" t="n" s="17">
        <v>0</v>
      </c>
      <c r="G422" t="n" s="17">
        <v>0</v>
      </c>
      <c r="H422" t="n" s="17">
        <v>0</v>
      </c>
      <c r="I422" t="n" s="18">
        <v>0</v>
      </c>
      <c r="J422" t="n" s="17">
        <v>0</v>
      </c>
      <c r="K422" t="n" s="19">
        <v>0</v>
      </c>
    </row>
    <row r="423" hidden="0" ht="15" customHeight="1" spans="1:1">
      <c r="A423" t="str" s="16">
        <f>HYPERLINK("https://amazon.com/dp/B010RXXY48", "B010RXXY48")</f>
      </c>
      <c r="B423" t="s">
        <v>435</v>
      </c>
      <c r="C423" t="s">
        <v>13</v>
      </c>
      <c r="D423" t="n" s="17">
        <v>0</v>
      </c>
      <c r="E423" t="n" s="17">
        <v>0</v>
      </c>
      <c r="F423" t="n" s="17">
        <v>0</v>
      </c>
      <c r="G423" t="n" s="17">
        <v>0</v>
      </c>
      <c r="H423" t="n" s="17">
        <v>0</v>
      </c>
      <c r="I423" t="n" s="18">
        <v>0</v>
      </c>
      <c r="J423" t="n" s="17">
        <v>0</v>
      </c>
      <c r="K423" t="n" s="19">
        <v>0</v>
      </c>
    </row>
    <row r="424" hidden="0" ht="15" customHeight="1" spans="1:1">
      <c r="A424" t="str" s="16">
        <f>HYPERLINK("https://amazon.com/dp/B07BLYSK71", "B07BLYSK71")</f>
      </c>
      <c r="B424" t="s">
        <v>436</v>
      </c>
      <c r="C424" t="s">
        <v>13</v>
      </c>
      <c r="D424" t="n" s="17">
        <v>0</v>
      </c>
      <c r="E424" t="n" s="17">
        <v>0</v>
      </c>
      <c r="F424" t="n" s="17">
        <v>0</v>
      </c>
      <c r="G424" t="n" s="17">
        <v>0</v>
      </c>
      <c r="H424" t="n" s="17">
        <v>0</v>
      </c>
      <c r="I424" t="n" s="18">
        <v>0</v>
      </c>
      <c r="J424" t="n" s="17">
        <v>0</v>
      </c>
      <c r="K424" t="n" s="19">
        <v>0</v>
      </c>
    </row>
    <row r="425" hidden="0" ht="15" customHeight="1" spans="1:1">
      <c r="A425" t="str" s="16">
        <f>HYPERLINK("https://amazon.com/dp/B001PS9E5I", "B001PS9E5I")</f>
      </c>
      <c r="B425" t="s">
        <v>437</v>
      </c>
      <c r="C425" t="s">
        <v>13</v>
      </c>
      <c r="D425" t="n" s="17">
        <v>0</v>
      </c>
      <c r="E425" t="n" s="17">
        <v>0</v>
      </c>
      <c r="F425" t="n" s="17">
        <v>0</v>
      </c>
      <c r="G425" t="n" s="17">
        <v>0</v>
      </c>
      <c r="H425" t="n" s="17">
        <v>0</v>
      </c>
      <c r="I425" t="n" s="18">
        <v>0</v>
      </c>
      <c r="J425" t="n" s="17">
        <v>0</v>
      </c>
      <c r="K425" t="n" s="19">
        <v>0</v>
      </c>
    </row>
    <row r="426" hidden="0" ht="15" customHeight="1" spans="1:1">
      <c r="A426" t="str" s="16">
        <f>HYPERLINK("https://amazon.com/dp/B0BZMLGCC5", "B0BZMLGCC5")</f>
      </c>
      <c r="B426" t="s">
        <v>438</v>
      </c>
      <c r="C426" t="s">
        <v>16</v>
      </c>
      <c r="D426" t="n" s="17">
        <v>0</v>
      </c>
      <c r="E426" t="n" s="17">
        <v>0</v>
      </c>
      <c r="F426" t="n" s="17">
        <v>0</v>
      </c>
      <c r="G426" t="n" s="17">
        <v>0</v>
      </c>
      <c r="H426" t="n" s="17">
        <v>0</v>
      </c>
      <c r="I426" t="n" s="18">
        <v>0</v>
      </c>
      <c r="J426" t="n" s="17">
        <v>0</v>
      </c>
      <c r="K426" t="n" s="19">
        <v>0</v>
      </c>
    </row>
    <row r="427" hidden="0" ht="15" customHeight="1" spans="1:1">
      <c r="A427" t="str" s="16">
        <f>HYPERLINK("https://amazon.com/dp/B0859MHXXB", "B0859MHXXB")</f>
      </c>
      <c r="B427" t="s">
        <v>439</v>
      </c>
      <c r="C427" t="s">
        <v>13</v>
      </c>
      <c r="D427" t="n" s="17">
        <v>0</v>
      </c>
      <c r="E427" t="n" s="17">
        <v>0</v>
      </c>
      <c r="F427" t="n" s="17">
        <v>0</v>
      </c>
      <c r="G427" t="n" s="17">
        <v>0</v>
      </c>
      <c r="H427" t="n" s="17">
        <v>0</v>
      </c>
      <c r="I427" t="n" s="18">
        <v>0</v>
      </c>
      <c r="J427" t="n" s="17">
        <v>0</v>
      </c>
      <c r="K427" t="n" s="19">
        <v>0</v>
      </c>
    </row>
    <row r="428" hidden="0" ht="15" customHeight="1" spans="1:1">
      <c r="A428" t="str" s="16">
        <f>HYPERLINK("https://amazon.com/dp/B0FBRCY2CW", "B0FBRCY2CW")</f>
      </c>
      <c r="B428" t="s">
        <v>440</v>
      </c>
      <c r="C428" t="s">
        <v>13</v>
      </c>
      <c r="D428" t="n" s="17">
        <v>0</v>
      </c>
      <c r="E428" t="n" s="17">
        <v>0</v>
      </c>
      <c r="F428" t="n" s="17">
        <v>0</v>
      </c>
      <c r="G428" t="n" s="17">
        <v>0</v>
      </c>
      <c r="H428" t="n" s="17">
        <v>0</v>
      </c>
      <c r="I428" t="n" s="18">
        <v>0</v>
      </c>
      <c r="J428" t="n" s="17">
        <v>0</v>
      </c>
      <c r="K428" t="n" s="19">
        <v>0</v>
      </c>
    </row>
    <row r="429" hidden="0" ht="15" customHeight="1" spans="1:1">
      <c r="A429" t="str" s="16">
        <f>HYPERLINK("https://amazon.com/dp/B07F5GMKN8", "B07F5GMKN8")</f>
      </c>
      <c r="B429" t="s">
        <v>441</v>
      </c>
      <c r="C429" t="s">
        <v>13</v>
      </c>
      <c r="D429" t="n" s="17">
        <v>0</v>
      </c>
      <c r="E429" t="n" s="17">
        <v>12</v>
      </c>
      <c r="F429" t="n" s="17">
        <v>0</v>
      </c>
      <c r="G429" t="n" s="17">
        <v>0</v>
      </c>
      <c r="H429" t="n" s="17">
        <v>0</v>
      </c>
      <c r="I429" t="n" s="18">
        <v>0.0417</v>
      </c>
      <c r="J429" t="n" s="17">
        <v>2</v>
      </c>
      <c r="K429" t="n" s="19">
        <v>641.33</v>
      </c>
    </row>
    <row r="430" hidden="0" ht="15" customHeight="1" spans="1:1">
      <c r="A430" t="str" s="16">
        <f>HYPERLINK("https://amazon.com/dp/B0GVZ756RC", "B0GVZ756RC")</f>
      </c>
      <c r="B430" t="s">
        <v>442</v>
      </c>
      <c r="C430" t="s">
        <v>29</v>
      </c>
      <c r="D430" t="n" s="17">
        <v>0</v>
      </c>
      <c r="E430" t="n" s="17">
        <v>79</v>
      </c>
      <c r="F430" t="n" s="17">
        <v>0</v>
      </c>
      <c r="G430" t="n" s="17">
        <v>0</v>
      </c>
      <c r="H430" t="n" s="17">
        <v>0</v>
      </c>
      <c r="I430" t="n" s="18">
        <v>0.031200000000000002</v>
      </c>
      <c r="J430" t="n" s="17">
        <v>4</v>
      </c>
      <c r="K430" t="n" s="19">
        <v>7687.85</v>
      </c>
    </row>
    <row r="431" hidden="0" ht="15" customHeight="1" spans="1:1">
      <c r="A431" t="str" s="16">
        <f>HYPERLINK("https://amazon.com/dp/B0FMR8WHWB", "B0FMR8WHWB")</f>
      </c>
      <c r="B431" t="s">
        <v>443</v>
      </c>
      <c r="C431" t="s">
        <v>29</v>
      </c>
      <c r="D431" t="n" s="17">
        <v>0</v>
      </c>
      <c r="E431" t="n" s="17">
        <v>24</v>
      </c>
      <c r="F431" t="n" s="17">
        <v>0</v>
      </c>
      <c r="G431" t="n" s="17">
        <v>0</v>
      </c>
      <c r="H431" t="n" s="17">
        <v>0</v>
      </c>
      <c r="I431" t="n" s="18">
        <v>0</v>
      </c>
      <c r="J431" t="n" s="17">
        <v>0</v>
      </c>
      <c r="K431" t="n" s="19">
        <v>0</v>
      </c>
    </row>
    <row r="432" hidden="0" ht="15" customHeight="1" spans="1:1">
      <c r="A432" t="str" s="16">
        <f>HYPERLINK("https://amazon.com/dp/B0D7H7S355", "B0D7H7S355")</f>
      </c>
      <c r="B432" t="s">
        <v>444</v>
      </c>
      <c r="C432" t="s">
        <v>13</v>
      </c>
      <c r="D432" t="n" s="17">
        <v>0</v>
      </c>
      <c r="E432" t="n" s="17">
        <v>0</v>
      </c>
      <c r="F432" t="n" s="17">
        <v>0</v>
      </c>
      <c r="G432" t="n" s="17">
        <v>0</v>
      </c>
      <c r="H432" t="n" s="17">
        <v>0</v>
      </c>
      <c r="I432" t="n" s="18">
        <v>0</v>
      </c>
      <c r="J432" t="n" s="17">
        <v>0</v>
      </c>
      <c r="K432" t="n" s="19">
        <v>0</v>
      </c>
    </row>
    <row r="433" hidden="0" ht="15" customHeight="1" spans="1:1">
      <c r="A433" t="str" s="16">
        <f>HYPERLINK("https://amazon.com/dp/B0BN4CJGFT", "B0BN4CJGFT")</f>
      </c>
      <c r="B433" t="s">
        <v>445</v>
      </c>
      <c r="C433" t="s">
        <v>13</v>
      </c>
      <c r="D433" t="n" s="17">
        <v>0</v>
      </c>
      <c r="E433" t="n" s="17">
        <v>0</v>
      </c>
      <c r="F433" t="n" s="17">
        <v>0</v>
      </c>
      <c r="G433" t="n" s="17">
        <v>0</v>
      </c>
      <c r="H433" t="n" s="17">
        <v>0</v>
      </c>
      <c r="I433" t="n" s="18">
        <v>0</v>
      </c>
      <c r="J433" t="n" s="17">
        <v>0</v>
      </c>
      <c r="K433" t="n" s="19">
        <v>0</v>
      </c>
    </row>
    <row r="434" hidden="0" ht="15" customHeight="1" spans="1:1">
      <c r="A434" t="str" s="16">
        <f>HYPERLINK("https://amazon.com/dp/B0859MDSFX", "B0859MDSFX")</f>
      </c>
      <c r="B434" t="s">
        <v>446</v>
      </c>
      <c r="C434" t="s">
        <v>13</v>
      </c>
      <c r="D434" t="n" s="17">
        <v>0</v>
      </c>
      <c r="E434" t="n" s="17">
        <v>477</v>
      </c>
      <c r="F434" t="n" s="17">
        <v>0</v>
      </c>
      <c r="G434" t="n" s="17">
        <v>0</v>
      </c>
      <c r="H434" t="n" s="17">
        <v>0</v>
      </c>
      <c r="I434" t="n" s="18">
        <v>0.0602</v>
      </c>
      <c r="J434" t="n" s="17">
        <v>29</v>
      </c>
      <c r="K434" t="n" s="19">
        <v>67496.63</v>
      </c>
    </row>
    <row r="435" hidden="0" ht="15" customHeight="1" spans="1:1">
      <c r="A435" t="str" s="16">
        <f>HYPERLINK("https://amazon.com/dp/B076JFL4RM", "B076JFL4RM")</f>
      </c>
      <c r="B435" t="s">
        <v>447</v>
      </c>
      <c r="C435" t="s">
        <v>13</v>
      </c>
      <c r="D435" t="n" s="17">
        <v>0</v>
      </c>
      <c r="E435" t="n" s="17">
        <v>55</v>
      </c>
      <c r="F435" t="n" s="17">
        <v>0</v>
      </c>
      <c r="G435" t="n" s="17">
        <v>0</v>
      </c>
      <c r="H435" t="n" s="17">
        <v>0</v>
      </c>
      <c r="I435" t="n" s="18">
        <v>0.057999999999999996</v>
      </c>
      <c r="J435" t="n" s="17">
        <v>4</v>
      </c>
      <c r="K435" t="n" s="19">
        <v>1191.68</v>
      </c>
    </row>
    <row r="436" hidden="0" ht="15" customHeight="1" spans="1:1">
      <c r="A436" t="str" s="16">
        <f>HYPERLINK("https://amazon.com/dp/B0DK5SQ87G", "B0DK5SQ87G")</f>
      </c>
      <c r="B436" t="s">
        <v>448</v>
      </c>
      <c r="C436" t="s">
        <v>16</v>
      </c>
      <c r="D436" t="n" s="17">
        <v>0</v>
      </c>
      <c r="E436" t="n" s="17">
        <v>0</v>
      </c>
      <c r="F436" t="n" s="17">
        <v>0</v>
      </c>
      <c r="G436" t="n" s="17">
        <v>0</v>
      </c>
      <c r="H436" t="n" s="17">
        <v>0</v>
      </c>
      <c r="I436" t="n" s="18">
        <v>0</v>
      </c>
      <c r="J436" t="n" s="17">
        <v>0</v>
      </c>
      <c r="K436" t="n" s="19">
        <v>0</v>
      </c>
    </row>
    <row r="437" hidden="0" ht="15" customHeight="1" spans="1:1">
      <c r="A437" t="str" s="16">
        <f>HYPERLINK("https://amazon.com/dp/B07GBK9CQL", "B07GBK9CQL")</f>
      </c>
      <c r="B437" t="s">
        <v>449</v>
      </c>
      <c r="C437" t="s">
        <v>13</v>
      </c>
      <c r="D437" t="n" s="17">
        <v>0</v>
      </c>
      <c r="E437" t="n" s="17">
        <v>121</v>
      </c>
      <c r="F437" t="n" s="17">
        <v>0</v>
      </c>
      <c r="G437" t="n" s="17">
        <v>0</v>
      </c>
      <c r="H437" t="n" s="17">
        <v>0</v>
      </c>
      <c r="I437" t="n" s="18">
        <v>0.0079</v>
      </c>
      <c r="J437" t="n" s="17">
        <v>1</v>
      </c>
      <c r="K437" t="n" s="19">
        <v>4427.4</v>
      </c>
    </row>
    <row r="438" hidden="0" ht="15" customHeight="1" spans="1:1">
      <c r="A438" t="str" s="16">
        <f>HYPERLINK("https://amazon.com/dp/B00H32T3M4", "B00H32T3M4")</f>
      </c>
      <c r="B438" t="s">
        <v>450</v>
      </c>
      <c r="C438" t="s">
        <v>13</v>
      </c>
      <c r="D438" t="n" s="17">
        <v>0</v>
      </c>
      <c r="E438" t="n" s="17">
        <v>0</v>
      </c>
      <c r="F438" t="n" s="17">
        <v>0</v>
      </c>
      <c r="G438" t="n" s="17">
        <v>0</v>
      </c>
      <c r="H438" t="n" s="17">
        <v>0</v>
      </c>
      <c r="I438" t="n" s="18">
        <v>0</v>
      </c>
      <c r="J438" t="n" s="17">
        <v>0</v>
      </c>
      <c r="K438" t="n" s="19">
        <v>0</v>
      </c>
    </row>
    <row r="439" hidden="0" ht="15" customHeight="1" spans="1:1">
      <c r="A439" t="str" s="16">
        <f>HYPERLINK("https://amazon.com/dp/B0D6W2BPFC", "B0D6W2BPFC")</f>
      </c>
      <c r="B439" t="s">
        <v>451</v>
      </c>
      <c r="C439" t="s">
        <v>13</v>
      </c>
      <c r="D439" t="n" s="17">
        <v>0</v>
      </c>
      <c r="E439" t="n" s="17">
        <v>231</v>
      </c>
      <c r="F439" t="n" s="17">
        <v>0</v>
      </c>
      <c r="G439" t="n" s="17">
        <v>0</v>
      </c>
      <c r="H439" t="n" s="17">
        <v>0</v>
      </c>
      <c r="I439" t="n" s="18">
        <v>0.0277</v>
      </c>
      <c r="J439" t="n" s="17">
        <v>7</v>
      </c>
      <c r="K439" t="n" s="19">
        <v>70029.19</v>
      </c>
    </row>
    <row r="440" hidden="0" ht="15" customHeight="1" spans="1:1">
      <c r="A440" t="str" s="16">
        <f>HYPERLINK("https://amazon.com/dp/B0D6WGRTW5", "B0D6WGRTW5")</f>
      </c>
      <c r="B440" t="s">
        <v>452</v>
      </c>
      <c r="C440" t="s">
        <v>16</v>
      </c>
      <c r="D440" t="n" s="17">
        <v>0</v>
      </c>
      <c r="E440" t="n" s="17">
        <v>0</v>
      </c>
      <c r="F440" t="n" s="17">
        <v>0</v>
      </c>
      <c r="G440" t="n" s="17">
        <v>0</v>
      </c>
      <c r="H440" t="n" s="17">
        <v>0</v>
      </c>
      <c r="I440" t="n" s="18">
        <v>0</v>
      </c>
      <c r="J440" t="n" s="17">
        <v>0</v>
      </c>
      <c r="K440" t="n" s="19">
        <v>0</v>
      </c>
    </row>
    <row r="441" hidden="0" ht="15" customHeight="1" spans="1:1">
      <c r="A441" t="str" s="16">
        <f>HYPERLINK("https://amazon.com/dp/B01MY5JIJ0", "B01MY5JIJ0")</f>
      </c>
      <c r="B441" t="s">
        <v>453</v>
      </c>
      <c r="C441" t="s">
        <v>13</v>
      </c>
      <c r="D441" t="n" s="17">
        <v>0</v>
      </c>
      <c r="E441" t="n" s="17">
        <v>199</v>
      </c>
      <c r="F441" t="n" s="17">
        <v>0</v>
      </c>
      <c r="G441" t="n" s="17">
        <v>0</v>
      </c>
      <c r="H441" t="n" s="17">
        <v>0</v>
      </c>
      <c r="I441" t="n" s="18">
        <v>0.0233</v>
      </c>
      <c r="J441" t="n" s="17">
        <v>5</v>
      </c>
      <c r="K441" t="n" s="19">
        <v>5861.55</v>
      </c>
    </row>
    <row r="442" hidden="0" ht="15" customHeight="1" spans="1:1">
      <c r="A442" t="str" s="16">
        <f>HYPERLINK("https://amazon.com/dp/B08GDC3534", "B08GDC3534")</f>
      </c>
      <c r="B442" t="s">
        <v>454</v>
      </c>
      <c r="C442" t="s">
        <v>13</v>
      </c>
      <c r="D442" t="n" s="17">
        <v>0</v>
      </c>
      <c r="E442" t="n" s="17">
        <v>0</v>
      </c>
      <c r="F442" t="n" s="17">
        <v>0</v>
      </c>
      <c r="G442" t="n" s="17">
        <v>0</v>
      </c>
      <c r="H442" t="n" s="17">
        <v>0</v>
      </c>
      <c r="I442" t="n" s="18">
        <v>0</v>
      </c>
      <c r="J442" t="n" s="17">
        <v>0</v>
      </c>
      <c r="K442" t="n" s="19">
        <v>0</v>
      </c>
    </row>
    <row r="443" hidden="0" ht="15" customHeight="1" spans="1:1">
      <c r="A443" t="str" s="16">
        <f>HYPERLINK("https://amazon.com/dp/B0FJM88BTG", "B0FJM88BTG")</f>
      </c>
      <c r="B443" t="s">
        <v>455</v>
      </c>
      <c r="C443" t="s">
        <v>13</v>
      </c>
      <c r="D443" t="n" s="17">
        <v>0</v>
      </c>
      <c r="E443" t="n" s="17">
        <v>55</v>
      </c>
      <c r="F443" t="n" s="17">
        <v>0</v>
      </c>
      <c r="G443" t="n" s="17">
        <v>0</v>
      </c>
      <c r="H443" t="n" s="17">
        <v>0</v>
      </c>
      <c r="I443" t="n" s="18">
        <v>0.0588</v>
      </c>
      <c r="J443" t="n" s="17">
        <v>4</v>
      </c>
      <c r="K443" t="n" s="19">
        <v>13993.89</v>
      </c>
    </row>
    <row r="444" hidden="0" ht="15" customHeight="1" spans="1:1">
      <c r="A444" t="str" s="16">
        <f>HYPERLINK("https://amazon.com/dp/B07L44Y6F9", "B07L44Y6F9")</f>
      </c>
      <c r="B444" t="s">
        <v>456</v>
      </c>
      <c r="C444" t="s">
        <v>13</v>
      </c>
      <c r="D444" t="n" s="17">
        <v>0</v>
      </c>
      <c r="E444" t="n" s="17">
        <v>0</v>
      </c>
      <c r="F444" t="n" s="17">
        <v>0</v>
      </c>
      <c r="G444" t="n" s="17">
        <v>0</v>
      </c>
      <c r="H444" t="n" s="17">
        <v>0</v>
      </c>
      <c r="I444" t="n" s="18">
        <v>0</v>
      </c>
      <c r="J444" t="n" s="17">
        <v>0</v>
      </c>
      <c r="K444" t="n" s="19">
        <v>0</v>
      </c>
    </row>
    <row r="445" hidden="0" ht="15" customHeight="1" spans="1:1">
      <c r="A445" t="str" s="16">
        <f>HYPERLINK("https://amazon.com/dp/B0B7NDJW6J", "B0B7NDJW6J")</f>
      </c>
      <c r="B445" t="s">
        <v>457</v>
      </c>
      <c r="C445" t="s">
        <v>16</v>
      </c>
      <c r="D445" t="n" s="17">
        <v>0</v>
      </c>
      <c r="E445" t="n" s="17">
        <v>0</v>
      </c>
      <c r="F445" t="n" s="17">
        <v>0</v>
      </c>
      <c r="G445" t="n" s="17">
        <v>0</v>
      </c>
      <c r="H445" t="n" s="17">
        <v>0</v>
      </c>
      <c r="I445" t="n" s="18">
        <v>0</v>
      </c>
      <c r="J445" t="n" s="17">
        <v>0</v>
      </c>
      <c r="K445" t="n" s="19">
        <v>0</v>
      </c>
    </row>
    <row r="446" hidden="0" ht="15" customHeight="1" spans="1:1">
      <c r="A446" t="str" s="16">
        <f>HYPERLINK("https://amazon.com/dp/B0FZTH4BBZ", "B0FZTH4BBZ")</f>
      </c>
      <c r="B446" t="s">
        <v>458</v>
      </c>
      <c r="C446" t="s">
        <v>16</v>
      </c>
      <c r="D446" t="n" s="17">
        <v>0</v>
      </c>
      <c r="E446" t="n" s="17">
        <v>207</v>
      </c>
      <c r="F446" t="n" s="17">
        <v>0</v>
      </c>
      <c r="G446" t="n" s="17">
        <v>0</v>
      </c>
      <c r="H446" t="n" s="17">
        <v>0</v>
      </c>
      <c r="I446" t="n" s="18">
        <v>0.0191</v>
      </c>
      <c r="J446" t="n" s="17">
        <v>4</v>
      </c>
      <c r="K446" t="n" s="19">
        <v>7153.32</v>
      </c>
    </row>
    <row r="447" hidden="0" ht="15" customHeight="1" spans="1:1">
      <c r="A447" t="str" s="16">
        <f>HYPERLINK("https://amazon.com/dp/B0BD5VZNCQ", "B0BD5VZNCQ")</f>
      </c>
      <c r="B447" t="s">
        <v>459</v>
      </c>
      <c r="C447" t="s">
        <v>13</v>
      </c>
      <c r="D447" t="n" s="17">
        <v>0</v>
      </c>
      <c r="E447" t="n" s="17">
        <v>0</v>
      </c>
      <c r="F447" t="n" s="17">
        <v>0</v>
      </c>
      <c r="G447" t="n" s="17">
        <v>0</v>
      </c>
      <c r="H447" t="n" s="17">
        <v>0</v>
      </c>
      <c r="I447" t="n" s="18">
        <v>0</v>
      </c>
      <c r="J447" t="n" s="17">
        <v>0</v>
      </c>
      <c r="K447" t="n" s="19">
        <v>0</v>
      </c>
    </row>
    <row r="448" hidden="0" ht="15" customHeight="1" spans="1:1">
      <c r="A448" t="str" s="16">
        <f>HYPERLINK("https://amazon.com/dp/B0F8B3Y9TS", "B0F8B3Y9TS")</f>
      </c>
      <c r="B448" t="s">
        <v>460</v>
      </c>
      <c r="C448" t="s">
        <v>13</v>
      </c>
      <c r="D448" t="n" s="17">
        <v>0</v>
      </c>
      <c r="E448" t="n" s="17">
        <v>1</v>
      </c>
      <c r="F448" t="n" s="17">
        <v>0</v>
      </c>
      <c r="G448" t="n" s="17">
        <v>0</v>
      </c>
      <c r="H448" t="n" s="17">
        <v>0</v>
      </c>
      <c r="I448" t="n" s="18">
        <v>0</v>
      </c>
      <c r="J448" t="n" s="17">
        <v>0</v>
      </c>
      <c r="K448" t="n" s="19">
        <v>0</v>
      </c>
    </row>
    <row r="449" hidden="0" ht="15" customHeight="1" spans="1:1">
      <c r="A449" t="str" s="16">
        <f>HYPERLINK("https://amazon.com/dp/B0FKN5K2HC", "B0FKN5K2HC")</f>
      </c>
      <c r="B449" t="s">
        <v>461</v>
      </c>
      <c r="C449" t="s">
        <v>29</v>
      </c>
      <c r="D449" t="n" s="17">
        <v>0</v>
      </c>
      <c r="E449" t="n" s="17">
        <v>98</v>
      </c>
      <c r="F449" t="n" s="17">
        <v>0</v>
      </c>
      <c r="G449" t="n" s="17">
        <v>0</v>
      </c>
      <c r="H449" t="n" s="17">
        <v>0</v>
      </c>
      <c r="I449" t="n" s="18">
        <v>0.1531</v>
      </c>
      <c r="J449" t="n" s="17">
        <v>15</v>
      </c>
      <c r="K449" t="n" s="19">
        <v>3996.09</v>
      </c>
    </row>
    <row r="450" hidden="0" ht="15" customHeight="1" spans="1:1">
      <c r="A450" t="str" s="16">
        <f>HYPERLINK("https://amazon.com/dp/B00YMTNVEM", "B00YMTNVEM")</f>
      </c>
      <c r="B450" t="s">
        <v>462</v>
      </c>
      <c r="C450" t="s">
        <v>13</v>
      </c>
      <c r="D450" t="n" s="17">
        <v>0</v>
      </c>
      <c r="E450" t="n" s="17">
        <v>84</v>
      </c>
      <c r="F450" t="n" s="17">
        <v>0</v>
      </c>
      <c r="G450" t="n" s="17">
        <v>0</v>
      </c>
      <c r="H450" t="n" s="17">
        <v>0</v>
      </c>
      <c r="I450" t="n" s="18">
        <v>0.15560000000000002</v>
      </c>
      <c r="J450" t="n" s="17">
        <v>14</v>
      </c>
      <c r="K450" t="n" s="19">
        <v>6324.78</v>
      </c>
    </row>
    <row r="451" hidden="0" ht="15" customHeight="1" spans="1:1">
      <c r="A451" t="str" s="16">
        <f>HYPERLINK("https://amazon.com/dp/B0BTBNNCBM", "B0BTBNNCBM")</f>
      </c>
      <c r="B451" t="s">
        <v>463</v>
      </c>
      <c r="C451" t="s">
        <v>13</v>
      </c>
      <c r="D451" t="n" s="17">
        <v>0</v>
      </c>
      <c r="E451" t="n" s="17">
        <v>0</v>
      </c>
      <c r="F451" t="n" s="17">
        <v>0</v>
      </c>
      <c r="G451" t="n" s="17">
        <v>0</v>
      </c>
      <c r="H451" t="n" s="17">
        <v>0</v>
      </c>
      <c r="I451" t="n" s="18">
        <v>0</v>
      </c>
      <c r="J451" t="n" s="17">
        <v>0</v>
      </c>
      <c r="K451" t="n" s="19">
        <v>0</v>
      </c>
    </row>
    <row r="452" hidden="0" ht="15" customHeight="1" spans="1:1">
      <c r="A452" t="str" s="16">
        <f>HYPERLINK("https://amazon.com/dp/B0BMX82Y3J", "B0BMX82Y3J")</f>
      </c>
      <c r="B452" t="s">
        <v>464</v>
      </c>
      <c r="C452" t="s">
        <v>13</v>
      </c>
      <c r="D452" t="n" s="17">
        <v>0</v>
      </c>
      <c r="E452" t="n" s="17">
        <v>0</v>
      </c>
      <c r="F452" t="n" s="17">
        <v>0</v>
      </c>
      <c r="G452" t="n" s="17">
        <v>0</v>
      </c>
      <c r="H452" t="n" s="17">
        <v>0</v>
      </c>
      <c r="I452" t="n" s="18">
        <v>0</v>
      </c>
      <c r="J452" t="n" s="17">
        <v>0</v>
      </c>
      <c r="K452" t="n" s="19">
        <v>0</v>
      </c>
    </row>
    <row r="453" hidden="0" ht="15" customHeight="1" spans="1:1">
      <c r="A453" t="str" s="16">
        <f>HYPERLINK("https://amazon.com/dp/B0D7GXQQ4N", "B0D7GXQQ4N")</f>
      </c>
      <c r="B453" t="s">
        <v>465</v>
      </c>
      <c r="C453" t="s">
        <v>29</v>
      </c>
      <c r="D453" t="n" s="17">
        <v>0</v>
      </c>
      <c r="E453" t="n" s="17">
        <v>275</v>
      </c>
      <c r="F453" t="n" s="17">
        <v>0</v>
      </c>
      <c r="G453" t="n" s="17">
        <v>0</v>
      </c>
      <c r="H453" t="n" s="17">
        <v>0</v>
      </c>
      <c r="I453" t="n" s="18">
        <v>0.1508</v>
      </c>
      <c r="J453" t="n" s="17">
        <v>46</v>
      </c>
      <c r="K453" t="n" s="19">
        <v>8778.18</v>
      </c>
    </row>
    <row r="454" hidden="0" ht="15" customHeight="1" spans="1:1">
      <c r="A454" t="str" s="16">
        <f>HYPERLINK("https://amazon.com/dp/B0C6JZG2ZL", "B0C6JZG2ZL")</f>
      </c>
      <c r="B454" t="s">
        <v>466</v>
      </c>
      <c r="C454" t="s">
        <v>16</v>
      </c>
      <c r="D454" t="n" s="17">
        <v>0</v>
      </c>
      <c r="E454" t="n" s="17">
        <v>0</v>
      </c>
      <c r="F454" t="n" s="17">
        <v>0</v>
      </c>
      <c r="G454" t="n" s="17">
        <v>0</v>
      </c>
      <c r="H454" t="n" s="17">
        <v>0</v>
      </c>
      <c r="I454" t="n" s="18">
        <v>0</v>
      </c>
      <c r="J454" t="n" s="17">
        <v>0</v>
      </c>
      <c r="K454" t="n" s="19">
        <v>0</v>
      </c>
    </row>
    <row r="455" hidden="0" ht="15" customHeight="1" spans="1:1">
      <c r="A455" t="str" s="16">
        <f>HYPERLINK("https://amazon.com/dp/B0859M87ZR", "B0859M87ZR")</f>
      </c>
      <c r="B455" t="s">
        <v>467</v>
      </c>
      <c r="C455" t="s">
        <v>13</v>
      </c>
      <c r="D455" t="n" s="17">
        <v>0</v>
      </c>
      <c r="E455" t="n" s="17">
        <v>0</v>
      </c>
      <c r="F455" t="n" s="17">
        <v>0</v>
      </c>
      <c r="G455" t="n" s="17">
        <v>0</v>
      </c>
      <c r="H455" t="n" s="17">
        <v>0</v>
      </c>
      <c r="I455" t="n" s="18">
        <v>0</v>
      </c>
      <c r="J455" t="n" s="17">
        <v>0</v>
      </c>
      <c r="K455" t="n" s="19">
        <v>0</v>
      </c>
    </row>
    <row r="456" hidden="0" ht="15" customHeight="1" spans="1:1">
      <c r="A456" t="str" s="16">
        <f>HYPERLINK("https://amazon.com/dp/B0D6W5XMBQ", "B0D6W5XMBQ")</f>
      </c>
      <c r="B456" t="s">
        <v>468</v>
      </c>
      <c r="C456" t="s">
        <v>16</v>
      </c>
      <c r="D456" t="n" s="17">
        <v>0</v>
      </c>
      <c r="E456" t="n" s="17">
        <v>0</v>
      </c>
      <c r="F456" t="n" s="17">
        <v>0</v>
      </c>
      <c r="G456" t="n" s="17">
        <v>0</v>
      </c>
      <c r="H456" t="n" s="17">
        <v>0</v>
      </c>
      <c r="I456" t="n" s="18">
        <v>0</v>
      </c>
      <c r="J456" t="n" s="17">
        <v>0</v>
      </c>
      <c r="K456" t="n" s="19">
        <v>0</v>
      </c>
    </row>
    <row r="457" hidden="0" ht="15" customHeight="1" spans="1:1">
      <c r="A457" t="str" s="16">
        <f>HYPERLINK("https://amazon.com/dp/B07ZKWRYSS", "B07ZKWRYSS")</f>
      </c>
      <c r="B457" t="s">
        <v>469</v>
      </c>
      <c r="C457" t="s">
        <v>13</v>
      </c>
      <c r="D457" t="n" s="17">
        <v>0</v>
      </c>
      <c r="E457" t="n" s="17">
        <v>109</v>
      </c>
      <c r="F457" t="n" s="17">
        <v>0</v>
      </c>
      <c r="G457" t="n" s="17">
        <v>0</v>
      </c>
      <c r="H457" t="n" s="17">
        <v>0</v>
      </c>
      <c r="I457" t="n" s="18">
        <v>0.0364</v>
      </c>
      <c r="J457" t="n" s="17">
        <v>4</v>
      </c>
      <c r="K457" t="n" s="19">
        <v>1113.2</v>
      </c>
    </row>
    <row r="458" hidden="0" ht="15" customHeight="1" spans="1:1">
      <c r="A458" t="str" s="16">
        <f>HYPERLINK("https://amazon.com/dp/B07RPVQY62", "B07RPVQY62")</f>
      </c>
      <c r="B458" t="s">
        <v>470</v>
      </c>
      <c r="C458" t="s">
        <v>13</v>
      </c>
      <c r="D458" t="n" s="17">
        <v>0</v>
      </c>
      <c r="E458" t="n" s="17">
        <v>243</v>
      </c>
      <c r="F458" t="n" s="17">
        <v>0</v>
      </c>
      <c r="G458" t="n" s="17">
        <v>0</v>
      </c>
      <c r="H458" t="n" s="17">
        <v>0</v>
      </c>
      <c r="I458" t="n" s="18">
        <v>0.0943</v>
      </c>
      <c r="J458" t="n" s="17">
        <v>23</v>
      </c>
      <c r="K458" t="n" s="19">
        <v>12013.79</v>
      </c>
    </row>
    <row r="459" hidden="0" ht="15" customHeight="1" spans="1:1">
      <c r="A459" t="str" s="16">
        <f>HYPERLINK("https://amazon.com/dp/B0DQXSRGQ4", "B0DQXSRGQ4")</f>
      </c>
      <c r="B459" t="s">
        <v>471</v>
      </c>
      <c r="C459" t="s">
        <v>13</v>
      </c>
      <c r="D459" t="n" s="17">
        <v>0</v>
      </c>
      <c r="E459" t="n" s="17">
        <v>176</v>
      </c>
      <c r="F459" t="n" s="17">
        <v>0</v>
      </c>
      <c r="G459" t="n" s="17">
        <v>0</v>
      </c>
      <c r="H459" t="n" s="17">
        <v>0</v>
      </c>
      <c r="I459" t="n" s="18">
        <v>0.0904</v>
      </c>
      <c r="J459" t="n" s="17">
        <v>16</v>
      </c>
      <c r="K459" t="n" s="19">
        <v>10728.68</v>
      </c>
    </row>
    <row r="460" hidden="0" ht="15" customHeight="1" spans="1:1">
      <c r="A460" t="str" s="16">
        <f>HYPERLINK("https://amazon.com/dp/B07HWKWH54", "B07HWKWH54")</f>
      </c>
      <c r="B460" t="s">
        <v>472</v>
      </c>
      <c r="C460" t="s">
        <v>13</v>
      </c>
      <c r="D460" t="n" s="17">
        <v>0</v>
      </c>
      <c r="E460" t="n" s="17">
        <v>36</v>
      </c>
      <c r="F460" t="n" s="17">
        <v>0</v>
      </c>
      <c r="G460" t="n" s="17">
        <v>0</v>
      </c>
      <c r="H460" t="n" s="17">
        <v>0</v>
      </c>
      <c r="I460" t="n" s="18">
        <v>0.0278</v>
      </c>
      <c r="J460" t="n" s="17">
        <v>1</v>
      </c>
      <c r="K460" t="n" s="19">
        <v>2046.23</v>
      </c>
    </row>
    <row r="461" hidden="0" ht="15" customHeight="1" spans="1:1">
      <c r="A461" t="str" s="16">
        <f>HYPERLINK("https://amazon.com/dp/B0CKXSYYH2", "B0CKXSYYH2")</f>
      </c>
      <c r="B461" t="s">
        <v>473</v>
      </c>
      <c r="C461" t="s">
        <v>16</v>
      </c>
      <c r="D461" t="n" s="17">
        <v>0</v>
      </c>
      <c r="E461" t="n" s="17">
        <v>0</v>
      </c>
      <c r="F461" t="n" s="17">
        <v>0</v>
      </c>
      <c r="G461" t="n" s="17">
        <v>0</v>
      </c>
      <c r="H461" t="n" s="17">
        <v>0</v>
      </c>
      <c r="I461" t="n" s="18">
        <v>0</v>
      </c>
      <c r="J461" t="n" s="17">
        <v>0</v>
      </c>
      <c r="K461" t="n" s="19">
        <v>0</v>
      </c>
    </row>
    <row r="462" hidden="0" ht="15" customHeight="1" spans="1:1">
      <c r="A462" t="str" s="16">
        <f>HYPERLINK("https://amazon.com/dp/B07LFJJM2S", "B07LFJJM2S")</f>
      </c>
      <c r="B462" t="s">
        <v>474</v>
      </c>
      <c r="C462" t="s">
        <v>13</v>
      </c>
      <c r="D462" t="n" s="17">
        <v>0</v>
      </c>
      <c r="E462" t="n" s="17">
        <v>0</v>
      </c>
      <c r="F462" t="n" s="17">
        <v>0</v>
      </c>
      <c r="G462" t="n" s="17">
        <v>0</v>
      </c>
      <c r="H462" t="n" s="17">
        <v>0</v>
      </c>
      <c r="I462" t="n" s="18">
        <v>0</v>
      </c>
      <c r="J462" t="n" s="17">
        <v>0</v>
      </c>
      <c r="K462" t="n" s="19">
        <v>0</v>
      </c>
    </row>
    <row r="463" hidden="0" ht="15" customHeight="1" spans="1:1">
      <c r="A463" t="str" s="16">
        <f>HYPERLINK("https://amazon.com/dp/B0DCZVTZ2P", "B0DCZVTZ2P")</f>
      </c>
      <c r="B463" t="s">
        <v>475</v>
      </c>
      <c r="C463" t="s">
        <v>13</v>
      </c>
      <c r="D463" t="n" s="17">
        <v>0</v>
      </c>
      <c r="E463" t="n" s="17">
        <v>6</v>
      </c>
      <c r="F463" t="n" s="17">
        <v>0</v>
      </c>
      <c r="G463" t="n" s="17">
        <v>0</v>
      </c>
      <c r="H463" t="n" s="17">
        <v>0</v>
      </c>
      <c r="I463" t="n" s="18">
        <v>0.0667</v>
      </c>
      <c r="J463" t="n" s="17">
        <v>1</v>
      </c>
      <c r="K463" t="n" s="19">
        <v>1381.9</v>
      </c>
    </row>
    <row r="464" hidden="0" ht="15" customHeight="1" spans="1:1">
      <c r="A464" t="str" s="16">
        <f>HYPERLINK("https://amazon.com/dp/B0BG6DQRL9", "B0BG6DQRL9")</f>
      </c>
      <c r="B464" t="s">
        <v>476</v>
      </c>
      <c r="C464" t="s">
        <v>16</v>
      </c>
      <c r="D464" t="n" s="17">
        <v>0</v>
      </c>
      <c r="E464" t="n" s="17">
        <v>0</v>
      </c>
      <c r="F464" t="n" s="17">
        <v>0</v>
      </c>
      <c r="G464" t="n" s="17">
        <v>0</v>
      </c>
      <c r="H464" t="n" s="17">
        <v>0</v>
      </c>
      <c r="I464" t="n" s="18">
        <v>0</v>
      </c>
      <c r="J464" t="n" s="17">
        <v>0</v>
      </c>
      <c r="K464" t="n" s="19">
        <v>0</v>
      </c>
    </row>
    <row r="465" hidden="0" ht="15" customHeight="1" spans="1:1">
      <c r="A465" t="str" s="16">
        <f>HYPERLINK("https://amazon.com/dp/B0DPZNFKBL", "B0DPZNFKBL")</f>
      </c>
      <c r="B465" t="s">
        <v>477</v>
      </c>
      <c r="C465" t="s">
        <v>13</v>
      </c>
      <c r="D465" t="n" s="17">
        <v>0</v>
      </c>
      <c r="E465" t="n" s="17">
        <v>174</v>
      </c>
      <c r="F465" t="n" s="17">
        <v>0</v>
      </c>
      <c r="G465" t="n" s="17">
        <v>0</v>
      </c>
      <c r="H465" t="n" s="17">
        <v>0</v>
      </c>
      <c r="I465" t="n" s="18">
        <v>0.04</v>
      </c>
      <c r="J465" t="n" s="17">
        <v>7</v>
      </c>
      <c r="K465" t="n" s="19">
        <v>4491.71</v>
      </c>
    </row>
    <row r="466" hidden="0" ht="15" customHeight="1" spans="1:1">
      <c r="A466" t="str" s="16">
        <f>HYPERLINK("https://amazon.com/dp/B00V4BGE7C", "B00V4BGE7C")</f>
      </c>
      <c r="B466" t="s">
        <v>478</v>
      </c>
      <c r="C466" t="s">
        <v>13</v>
      </c>
      <c r="D466" t="n" s="17">
        <v>0</v>
      </c>
      <c r="E466" t="n" s="17">
        <v>0</v>
      </c>
      <c r="F466" t="n" s="17">
        <v>0</v>
      </c>
      <c r="G466" t="n" s="17">
        <v>0</v>
      </c>
      <c r="H466" t="n" s="17">
        <v>0</v>
      </c>
      <c r="I466" t="n" s="18">
        <v>0</v>
      </c>
      <c r="J466" t="n" s="17">
        <v>0</v>
      </c>
      <c r="K466" t="n" s="19">
        <v>0</v>
      </c>
    </row>
    <row r="467" hidden="0" ht="15" customHeight="1" spans="1:1">
      <c r="A467" t="str" s="16">
        <f>HYPERLINK("https://amazon.com/dp/B08CPHW65R", "B08CPHW65R")</f>
      </c>
      <c r="B467" t="s">
        <v>479</v>
      </c>
      <c r="C467" t="s">
        <v>13</v>
      </c>
      <c r="D467" t="n" s="17">
        <v>0</v>
      </c>
      <c r="E467" t="n" s="17">
        <v>0</v>
      </c>
      <c r="F467" t="n" s="17">
        <v>0</v>
      </c>
      <c r="G467" t="n" s="17">
        <v>0</v>
      </c>
      <c r="H467" t="n" s="17">
        <v>0</v>
      </c>
      <c r="I467" t="n" s="18">
        <v>0</v>
      </c>
      <c r="J467" t="n" s="17">
        <v>0</v>
      </c>
      <c r="K467" t="n" s="19">
        <v>0</v>
      </c>
    </row>
    <row r="468" hidden="0" ht="15" customHeight="1" spans="1:1">
      <c r="A468" t="str" s="16">
        <f>HYPERLINK("https://amazon.com/dp/B0CG1QQZ9Z", "B0CG1QQZ9Z")</f>
      </c>
      <c r="B468" t="s">
        <v>480</v>
      </c>
      <c r="C468" t="s">
        <v>13</v>
      </c>
      <c r="D468" t="n" s="17">
        <v>0</v>
      </c>
      <c r="E468" t="n" s="17">
        <v>0</v>
      </c>
      <c r="F468" t="n" s="17">
        <v>0</v>
      </c>
      <c r="G468" t="n" s="17">
        <v>0</v>
      </c>
      <c r="H468" t="n" s="17">
        <v>0</v>
      </c>
      <c r="I468" t="n" s="18">
        <v>0</v>
      </c>
      <c r="J468" t="n" s="17">
        <v>0</v>
      </c>
      <c r="K468" t="n" s="19">
        <v>0</v>
      </c>
    </row>
    <row r="469" hidden="0" ht="15" customHeight="1" spans="1:1">
      <c r="A469" t="str" s="16">
        <f>HYPERLINK("https://amazon.com/dp/B0DNYZQ5GS", "B0DNYZQ5GS")</f>
      </c>
      <c r="B469" t="s">
        <v>481</v>
      </c>
      <c r="C469" t="s">
        <v>13</v>
      </c>
      <c r="D469" t="n" s="17">
        <v>0</v>
      </c>
      <c r="E469" t="n" s="17">
        <v>63</v>
      </c>
      <c r="F469" t="n" s="17">
        <v>0</v>
      </c>
      <c r="G469" t="n" s="17">
        <v>0</v>
      </c>
      <c r="H469" t="n" s="17">
        <v>0</v>
      </c>
      <c r="I469" t="n" s="18">
        <v>0.0625</v>
      </c>
      <c r="J469" t="n" s="17">
        <v>4</v>
      </c>
      <c r="K469" t="n" s="19">
        <v>4371.67</v>
      </c>
    </row>
    <row r="470" hidden="0" ht="15" customHeight="1" spans="1:1">
      <c r="A470" t="str" s="16">
        <f>HYPERLINK("https://amazon.com/dp/B0D6W2Z4XZ", "B0D6W2Z4XZ")</f>
      </c>
      <c r="B470" t="s">
        <v>482</v>
      </c>
      <c r="C470" t="s">
        <v>13</v>
      </c>
      <c r="D470" t="n" s="17">
        <v>0</v>
      </c>
      <c r="E470" t="n" s="17">
        <v>792</v>
      </c>
      <c r="F470" t="n" s="17">
        <v>0</v>
      </c>
      <c r="G470" t="n" s="17">
        <v>0</v>
      </c>
      <c r="H470" t="n" s="17">
        <v>0</v>
      </c>
      <c r="I470" t="n" s="18">
        <v>0.0287</v>
      </c>
      <c r="J470" t="n" s="17">
        <v>24</v>
      </c>
      <c r="K470" t="n" s="19">
        <v>53563.77</v>
      </c>
    </row>
    <row r="471" hidden="0" ht="15" customHeight="1" spans="1:1">
      <c r="A471" t="str" s="16">
        <f>HYPERLINK("https://amazon.com/dp/B0BK2CTRV4", "B0BK2CTRV4")</f>
      </c>
      <c r="B471" t="s">
        <v>483</v>
      </c>
      <c r="C471" t="s">
        <v>13</v>
      </c>
      <c r="D471" t="n" s="17">
        <v>0</v>
      </c>
      <c r="E471" t="n" s="17">
        <v>0</v>
      </c>
      <c r="F471" t="n" s="17">
        <v>0</v>
      </c>
      <c r="G471" t="n" s="17">
        <v>0</v>
      </c>
      <c r="H471" t="n" s="17">
        <v>0</v>
      </c>
      <c r="I471" t="n" s="18">
        <v>0</v>
      </c>
      <c r="J471" t="n" s="17">
        <v>0</v>
      </c>
      <c r="K471" t="n" s="19">
        <v>0</v>
      </c>
    </row>
    <row r="472" hidden="0" ht="15" customHeight="1" spans="1:1">
      <c r="A472" t="str" s="16">
        <f>HYPERLINK("https://amazon.com/dp/B01MT7D9Q9", "B01MT7D9Q9")</f>
      </c>
      <c r="B472" t="s">
        <v>484</v>
      </c>
      <c r="C472" t="s">
        <v>13</v>
      </c>
      <c r="D472" t="n" s="17">
        <v>0</v>
      </c>
      <c r="E472" t="n" s="17">
        <v>0</v>
      </c>
      <c r="F472" t="n" s="17">
        <v>0</v>
      </c>
      <c r="G472" t="n" s="17">
        <v>0</v>
      </c>
      <c r="H472" t="n" s="17">
        <v>0</v>
      </c>
      <c r="I472" t="n" s="18">
        <v>0</v>
      </c>
      <c r="J472" t="n" s="17">
        <v>0</v>
      </c>
      <c r="K472" t="n" s="19">
        <v>0</v>
      </c>
    </row>
    <row r="473" hidden="0" ht="15" customHeight="1" spans="1:1">
      <c r="A473" t="str" s="16">
        <f>HYPERLINK("https://amazon.com/dp/B0D8B79ZCP", "B0D8B79ZCP")</f>
      </c>
      <c r="B473" t="s">
        <v>485</v>
      </c>
      <c r="C473" t="s">
        <v>16</v>
      </c>
      <c r="D473" t="n" s="17">
        <v>0</v>
      </c>
      <c r="E473" t="n" s="17">
        <v>0</v>
      </c>
      <c r="F473" t="n" s="17">
        <v>0</v>
      </c>
      <c r="G473" t="n" s="17">
        <v>0</v>
      </c>
      <c r="H473" t="n" s="17">
        <v>0</v>
      </c>
      <c r="I473" t="n" s="18">
        <v>0</v>
      </c>
      <c r="J473" t="n" s="17">
        <v>0</v>
      </c>
      <c r="K473" t="n" s="19">
        <v>0</v>
      </c>
    </row>
    <row r="474" hidden="0" ht="15" customHeight="1" spans="1:1">
      <c r="A474" t="str" s="16">
        <f>HYPERLINK("https://amazon.com/dp/B00DBRPKS6", "B00DBRPKS6")</f>
      </c>
      <c r="B474" t="s">
        <v>486</v>
      </c>
      <c r="C474" t="s">
        <v>13</v>
      </c>
      <c r="D474" t="n" s="17">
        <v>0</v>
      </c>
      <c r="E474" t="n" s="17">
        <v>17</v>
      </c>
      <c r="F474" t="n" s="17">
        <v>0</v>
      </c>
      <c r="G474" t="n" s="17">
        <v>0</v>
      </c>
      <c r="H474" t="n" s="17">
        <v>0</v>
      </c>
      <c r="I474" t="n" s="18">
        <v>0</v>
      </c>
      <c r="J474" t="n" s="17">
        <v>0</v>
      </c>
      <c r="K474" t="n" s="19">
        <v>0</v>
      </c>
    </row>
    <row r="475" hidden="0" ht="15" customHeight="1" spans="1:1">
      <c r="A475" t="str" s="16">
        <f>HYPERLINK("https://amazon.com/dp/B0BRRH519K", "B0BRRH519K")</f>
      </c>
      <c r="B475" t="s">
        <v>487</v>
      </c>
      <c r="C475" t="s">
        <v>13</v>
      </c>
      <c r="D475" t="n" s="17">
        <v>0</v>
      </c>
      <c r="E475" t="n" s="17">
        <v>251</v>
      </c>
      <c r="F475" t="n" s="17">
        <v>0</v>
      </c>
      <c r="G475" t="n" s="17">
        <v>0</v>
      </c>
      <c r="H475" t="n" s="17">
        <v>0</v>
      </c>
      <c r="I475" t="n" s="18">
        <v>0.0159</v>
      </c>
      <c r="J475" t="n" s="17">
        <v>4</v>
      </c>
      <c r="K475" t="n" s="19">
        <v>90608.05</v>
      </c>
    </row>
    <row r="476" hidden="0" ht="15" customHeight="1" spans="1:1">
      <c r="A476" t="str" s="16">
        <f>HYPERLINK("https://amazon.com/dp/B08MH7LN99", "B08MH7LN99")</f>
      </c>
      <c r="B476" t="s">
        <v>488</v>
      </c>
      <c r="C476" t="s">
        <v>13</v>
      </c>
      <c r="D476" t="n" s="17">
        <v>0</v>
      </c>
      <c r="E476" t="n" s="17">
        <v>0</v>
      </c>
      <c r="F476" t="n" s="17">
        <v>0</v>
      </c>
      <c r="G476" t="n" s="17">
        <v>0</v>
      </c>
      <c r="H476" t="n" s="17">
        <v>0</v>
      </c>
      <c r="I476" t="n" s="18">
        <v>0</v>
      </c>
      <c r="J476" t="n" s="17">
        <v>0</v>
      </c>
      <c r="K476" t="n" s="19">
        <v>0</v>
      </c>
    </row>
    <row r="477" hidden="0" ht="15" customHeight="1" spans="1:1">
      <c r="A477" t="str" s="16">
        <f>HYPERLINK("https://amazon.com/dp/B07VC41CXJ", "B07VC41CXJ")</f>
      </c>
      <c r="B477" t="s">
        <v>489</v>
      </c>
      <c r="C477" t="s">
        <v>13</v>
      </c>
      <c r="D477" t="n" s="17">
        <v>0</v>
      </c>
      <c r="E477" t="n" s="17">
        <v>16</v>
      </c>
      <c r="F477" t="n" s="17">
        <v>0</v>
      </c>
      <c r="G477" t="n" s="17">
        <v>0</v>
      </c>
      <c r="H477" t="n" s="17">
        <v>0</v>
      </c>
      <c r="I477" t="n" s="18">
        <v>0.0105</v>
      </c>
      <c r="J477" t="n" s="17">
        <v>1</v>
      </c>
      <c r="K477" t="n" s="19">
        <v>774.87</v>
      </c>
    </row>
    <row r="478" hidden="0" ht="15" customHeight="1" spans="1:1">
      <c r="A478" t="str" s="16">
        <f>HYPERLINK("https://amazon.com/dp/B07PS1BX3G", "B07PS1BX3G")</f>
      </c>
      <c r="B478" t="s">
        <v>490</v>
      </c>
      <c r="C478" t="s">
        <v>13</v>
      </c>
      <c r="D478" t="n" s="17">
        <v>0</v>
      </c>
      <c r="E478" t="n" s="17">
        <v>0</v>
      </c>
      <c r="F478" t="n" s="17">
        <v>0</v>
      </c>
      <c r="G478" t="n" s="17">
        <v>0</v>
      </c>
      <c r="H478" t="n" s="17">
        <v>0</v>
      </c>
      <c r="I478" t="n" s="18">
        <v>0</v>
      </c>
      <c r="J478" t="n" s="17">
        <v>0</v>
      </c>
      <c r="K478" t="n" s="19">
        <v>0</v>
      </c>
    </row>
    <row r="479" hidden="0" ht="15" customHeight="1" spans="1:1">
      <c r="A479" t="str" s="16">
        <f>HYPERLINK("https://amazon.com/dp/B0CC6NGXZT", "B0CC6NGXZT")</f>
      </c>
      <c r="B479" t="s">
        <v>491</v>
      </c>
      <c r="C479" t="s">
        <v>13</v>
      </c>
      <c r="D479" t="n" s="17">
        <v>0</v>
      </c>
      <c r="E479" t="n" s="17">
        <v>16</v>
      </c>
      <c r="F479" t="n" s="17">
        <v>0</v>
      </c>
      <c r="G479" t="n" s="17">
        <v>0</v>
      </c>
      <c r="H479" t="n" s="17">
        <v>0</v>
      </c>
      <c r="I479" t="n" s="18">
        <v>0</v>
      </c>
      <c r="J479" t="n" s="17">
        <v>0</v>
      </c>
      <c r="K479" t="n" s="19">
        <v>0</v>
      </c>
    </row>
    <row r="480" hidden="0" ht="15" customHeight="1" spans="1:1">
      <c r="A480" t="str" s="16">
        <f>HYPERLINK("https://amazon.com/dp/B0DHJHMHFS", "B0DHJHMHFS")</f>
      </c>
      <c r="B480" t="s">
        <v>492</v>
      </c>
      <c r="C480" t="s">
        <v>13</v>
      </c>
      <c r="D480" t="n" s="17">
        <v>0</v>
      </c>
      <c r="E480" t="n" s="17">
        <v>411</v>
      </c>
      <c r="F480" t="n" s="17">
        <v>0</v>
      </c>
      <c r="G480" t="n" s="17">
        <v>0</v>
      </c>
      <c r="H480" t="n" s="17">
        <v>0</v>
      </c>
      <c r="I480" t="n" s="18">
        <v>0.0704</v>
      </c>
      <c r="J480" t="n" s="17">
        <v>29</v>
      </c>
      <c r="K480" t="n" s="19">
        <v>11648.41</v>
      </c>
    </row>
    <row r="481" hidden="0" ht="15" customHeight="1" spans="1:1">
      <c r="A481" t="str" s="16">
        <f>HYPERLINK("https://amazon.com/dp/B01LLAK1VA", "B01LLAK1VA")</f>
      </c>
      <c r="B481" t="s">
        <v>493</v>
      </c>
      <c r="C481" t="s">
        <v>13</v>
      </c>
      <c r="D481" t="n" s="17">
        <v>0</v>
      </c>
      <c r="E481" t="n" s="17">
        <v>0</v>
      </c>
      <c r="F481" t="n" s="17">
        <v>0</v>
      </c>
      <c r="G481" t="n" s="17">
        <v>0</v>
      </c>
      <c r="H481" t="n" s="17">
        <v>0</v>
      </c>
      <c r="I481" t="n" s="18">
        <v>0</v>
      </c>
      <c r="J481" t="n" s="17">
        <v>0</v>
      </c>
      <c r="K481" t="n" s="19">
        <v>0</v>
      </c>
    </row>
    <row r="482" hidden="0" ht="15" customHeight="1" spans="1:1">
      <c r="A482" t="str" s="16">
        <f>HYPERLINK("https://amazon.com/dp/B00172MK08", "B00172MK08")</f>
      </c>
      <c r="B482" t="s">
        <v>494</v>
      </c>
      <c r="C482" t="s">
        <v>13</v>
      </c>
      <c r="D482" t="n" s="17">
        <v>0</v>
      </c>
      <c r="E482" t="n" s="17">
        <v>0</v>
      </c>
      <c r="F482" t="n" s="17">
        <v>0</v>
      </c>
      <c r="G482" t="n" s="17">
        <v>0</v>
      </c>
      <c r="H482" t="n" s="17">
        <v>0</v>
      </c>
      <c r="I482" t="n" s="18">
        <v>0</v>
      </c>
      <c r="J482" t="n" s="17">
        <v>0</v>
      </c>
      <c r="K482" t="n" s="19">
        <v>0</v>
      </c>
    </row>
    <row r="483" hidden="0" ht="15" customHeight="1" spans="1:1">
      <c r="A483" t="str" s="16">
        <f>HYPERLINK("https://amazon.com/dp/B0BNYS51LZ", "B0BNYS51LZ")</f>
      </c>
      <c r="B483" t="s">
        <v>495</v>
      </c>
      <c r="C483" t="s">
        <v>13</v>
      </c>
      <c r="D483" t="n" s="17">
        <v>0</v>
      </c>
      <c r="E483" t="n" s="17">
        <v>0</v>
      </c>
      <c r="F483" t="n" s="17">
        <v>0</v>
      </c>
      <c r="G483" t="n" s="17">
        <v>0</v>
      </c>
      <c r="H483" t="n" s="17">
        <v>0</v>
      </c>
      <c r="I483" t="n" s="18">
        <v>0</v>
      </c>
      <c r="J483" t="n" s="17">
        <v>0</v>
      </c>
      <c r="K483" t="n" s="19">
        <v>0</v>
      </c>
    </row>
    <row r="484" hidden="0" ht="15" customHeight="1" spans="1:1">
      <c r="A484" t="str" s="16">
        <f>HYPERLINK("https://amazon.com/dp/B08DP2Q1M9", "B08DP2Q1M9")</f>
      </c>
      <c r="B484" t="s">
        <v>496</v>
      </c>
      <c r="C484" t="s">
        <v>13</v>
      </c>
      <c r="D484" t="n" s="17">
        <v>0</v>
      </c>
      <c r="E484" t="n" s="17">
        <v>0</v>
      </c>
      <c r="F484" t="n" s="17">
        <v>0</v>
      </c>
      <c r="G484" t="n" s="17">
        <v>0</v>
      </c>
      <c r="H484" t="n" s="17">
        <v>0</v>
      </c>
      <c r="I484" t="n" s="18">
        <v>0</v>
      </c>
      <c r="J484" t="n" s="17">
        <v>0</v>
      </c>
      <c r="K484" t="n" s="19">
        <v>0</v>
      </c>
    </row>
    <row r="485" hidden="0" ht="15" customHeight="1" spans="1:1">
      <c r="A485" t="str" s="16">
        <f>HYPERLINK("https://amazon.com/dp/B00KO15KV4", "B00KO15KV4")</f>
      </c>
      <c r="B485" t="s">
        <v>497</v>
      </c>
      <c r="C485" t="s">
        <v>13</v>
      </c>
      <c r="D485" t="n" s="17">
        <v>0</v>
      </c>
      <c r="E485" t="n" s="17">
        <v>0</v>
      </c>
      <c r="F485" t="n" s="17">
        <v>0</v>
      </c>
      <c r="G485" t="n" s="17">
        <v>0</v>
      </c>
      <c r="H485" t="n" s="17">
        <v>0</v>
      </c>
      <c r="I485" t="n" s="18">
        <v>0</v>
      </c>
      <c r="J485" t="n" s="17">
        <v>0</v>
      </c>
      <c r="K485" t="n" s="19">
        <v>0</v>
      </c>
    </row>
    <row r="486" hidden="0" ht="15" customHeight="1" spans="1:1">
      <c r="A486" t="str" s="16">
        <f>HYPERLINK("https://amazon.com/dp/B08HKV28ZR", "B08HKV28ZR")</f>
      </c>
      <c r="B486" t="s">
        <v>498</v>
      </c>
      <c r="C486" t="s">
        <v>16</v>
      </c>
      <c r="D486" t="n" s="17">
        <v>0</v>
      </c>
      <c r="E486" t="n" s="17">
        <v>0</v>
      </c>
      <c r="F486" t="n" s="17">
        <v>0</v>
      </c>
      <c r="G486" t="n" s="17">
        <v>0</v>
      </c>
      <c r="H486" t="n" s="17">
        <v>0</v>
      </c>
      <c r="I486" t="n" s="18">
        <v>0</v>
      </c>
      <c r="J486" t="n" s="17">
        <v>0</v>
      </c>
      <c r="K486" t="n" s="19">
        <v>0</v>
      </c>
    </row>
    <row r="487" hidden="0" ht="15" customHeight="1" spans="1:1">
      <c r="A487" t="str" s="16">
        <f>HYPERLINK("https://amazon.com/dp/B07G392VCD", "B07G392VCD")</f>
      </c>
      <c r="B487" t="s">
        <v>499</v>
      </c>
      <c r="C487" t="s">
        <v>13</v>
      </c>
      <c r="D487" t="n" s="17">
        <v>0</v>
      </c>
      <c r="E487" t="n" s="17">
        <v>0</v>
      </c>
      <c r="F487" t="n" s="17">
        <v>0</v>
      </c>
      <c r="G487" t="n" s="17">
        <v>0</v>
      </c>
      <c r="H487" t="n" s="17">
        <v>0</v>
      </c>
      <c r="I487" t="n" s="18">
        <v>0</v>
      </c>
      <c r="J487" t="n" s="17">
        <v>0</v>
      </c>
      <c r="K487" t="n" s="19">
        <v>0</v>
      </c>
    </row>
    <row r="488" hidden="0" ht="15" customHeight="1" spans="1:1">
      <c r="A488" t="str" s="16">
        <f>HYPERLINK("https://amazon.com/dp/B0CKPSLJ5S", "B0CKPSLJ5S")</f>
      </c>
      <c r="B488" t="s">
        <v>500</v>
      </c>
      <c r="C488" t="s">
        <v>13</v>
      </c>
      <c r="D488" t="n" s="17">
        <v>0</v>
      </c>
      <c r="E488" t="n" s="17">
        <v>84</v>
      </c>
      <c r="F488" t="n" s="17">
        <v>0</v>
      </c>
      <c r="G488" t="n" s="17">
        <v>0</v>
      </c>
      <c r="H488" t="n" s="17">
        <v>0</v>
      </c>
      <c r="I488" t="n" s="18">
        <v>0</v>
      </c>
      <c r="J488" t="n" s="17">
        <v>0</v>
      </c>
      <c r="K488" t="n" s="19">
        <v>0</v>
      </c>
    </row>
    <row r="489" hidden="0" ht="15" customHeight="1" spans="1:1">
      <c r="A489" t="str" s="16">
        <f>HYPERLINK("https://amazon.com/dp/B001GWSMVU", "B001GWSMVU")</f>
      </c>
      <c r="B489" t="s">
        <v>501</v>
      </c>
      <c r="C489" t="s">
        <v>13</v>
      </c>
      <c r="D489" t="n" s="17">
        <v>0</v>
      </c>
      <c r="E489" t="n" s="17">
        <v>89</v>
      </c>
      <c r="F489" t="n" s="17">
        <v>0</v>
      </c>
      <c r="G489" t="n" s="17">
        <v>0</v>
      </c>
      <c r="H489" t="n" s="17">
        <v>0</v>
      </c>
      <c r="I489" t="n" s="18">
        <v>0.0667</v>
      </c>
      <c r="J489" t="n" s="17">
        <v>6</v>
      </c>
      <c r="K489" t="n" s="19">
        <v>5811.06</v>
      </c>
    </row>
    <row r="490" hidden="0" ht="15" customHeight="1" spans="1:1">
      <c r="A490" t="str" s="16">
        <f>HYPERLINK("https://amazon.com/dp/B06Y2C4H78", "B06Y2C4H78")</f>
      </c>
      <c r="B490" t="s">
        <v>502</v>
      </c>
      <c r="C490" t="s">
        <v>13</v>
      </c>
      <c r="D490" t="n" s="17">
        <v>0</v>
      </c>
      <c r="E490" t="n" s="17">
        <v>0</v>
      </c>
      <c r="F490" t="n" s="17">
        <v>0</v>
      </c>
      <c r="G490" t="n" s="17">
        <v>0</v>
      </c>
      <c r="H490" t="n" s="17">
        <v>0</v>
      </c>
      <c r="I490" t="n" s="18">
        <v>0</v>
      </c>
      <c r="J490" t="n" s="17">
        <v>0</v>
      </c>
      <c r="K490" t="n" s="19">
        <v>0</v>
      </c>
    </row>
    <row r="491" hidden="0" ht="15" customHeight="1" spans="1:1">
      <c r="A491" t="str" s="16">
        <f>HYPERLINK("https://amazon.com/dp/B07KRCW6LZ", "B07KRCW6LZ")</f>
      </c>
      <c r="B491" t="s">
        <v>503</v>
      </c>
      <c r="C491" t="s">
        <v>13</v>
      </c>
      <c r="D491" t="n" s="17">
        <v>0</v>
      </c>
      <c r="E491" t="n" s="17">
        <v>121</v>
      </c>
      <c r="F491" t="n" s="17">
        <v>0</v>
      </c>
      <c r="G491" t="n" s="17">
        <v>0</v>
      </c>
      <c r="H491" t="n" s="17">
        <v>0</v>
      </c>
      <c r="I491" t="n" s="18">
        <v>0.008199999999999999</v>
      </c>
      <c r="J491" t="n" s="17">
        <v>1</v>
      </c>
      <c r="K491" t="n" s="19">
        <v>509.21</v>
      </c>
    </row>
    <row r="492" hidden="0" ht="15" customHeight="1" spans="1:1">
      <c r="A492" t="str" s="16">
        <f>HYPERLINK("https://amazon.com/dp/B075PDLQ2Y", "B075PDLQ2Y")</f>
      </c>
      <c r="B492" t="s">
        <v>504</v>
      </c>
      <c r="C492" t="s">
        <v>13</v>
      </c>
      <c r="D492" t="n" s="17">
        <v>0</v>
      </c>
      <c r="E492" t="n" s="17">
        <v>0</v>
      </c>
      <c r="F492" t="n" s="17">
        <v>0</v>
      </c>
      <c r="G492" t="n" s="17">
        <v>0</v>
      </c>
      <c r="H492" t="n" s="17">
        <v>0</v>
      </c>
      <c r="I492" t="n" s="18">
        <v>0</v>
      </c>
      <c r="J492" t="n" s="17">
        <v>0</v>
      </c>
      <c r="K492" t="n" s="19">
        <v>0</v>
      </c>
    </row>
    <row r="493" hidden="0" ht="15" customHeight="1" spans="1:1">
      <c r="A493" t="str" s="16">
        <f>HYPERLINK("https://amazon.com/dp/B001GQDRWK", "B001GQDRWK")</f>
      </c>
      <c r="B493" t="s">
        <v>505</v>
      </c>
      <c r="C493" t="s">
        <v>13</v>
      </c>
      <c r="D493" t="n" s="17">
        <v>0</v>
      </c>
      <c r="E493" t="n" s="17">
        <v>56</v>
      </c>
      <c r="F493" t="n" s="17">
        <v>0</v>
      </c>
      <c r="G493" t="n" s="17">
        <v>0</v>
      </c>
      <c r="H493" t="n" s="17">
        <v>0</v>
      </c>
      <c r="I493" t="n" s="18">
        <v>0.0179</v>
      </c>
      <c r="J493" t="n" s="17">
        <v>1</v>
      </c>
      <c r="K493" t="n" s="19">
        <v>607.5</v>
      </c>
    </row>
    <row r="494" hidden="0" ht="15" customHeight="1" spans="1:1">
      <c r="A494" t="str" s="16">
        <f>HYPERLINK("https://amazon.com/dp/B0CHFG8XBZ", "B0CHFG8XBZ")</f>
      </c>
      <c r="B494" t="s">
        <v>506</v>
      </c>
      <c r="C494" t="s">
        <v>16</v>
      </c>
      <c r="D494" t="n" s="17">
        <v>0</v>
      </c>
      <c r="E494" t="n" s="17">
        <v>0</v>
      </c>
      <c r="F494" t="n" s="17">
        <v>0</v>
      </c>
      <c r="G494" t="n" s="17">
        <v>0</v>
      </c>
      <c r="H494" t="n" s="17">
        <v>0</v>
      </c>
      <c r="I494" t="n" s="18">
        <v>0</v>
      </c>
      <c r="J494" t="n" s="17">
        <v>0</v>
      </c>
      <c r="K494" t="n" s="19">
        <v>0</v>
      </c>
    </row>
    <row r="495" hidden="0" ht="15" customHeight="1" spans="1:1">
      <c r="A495" t="str" s="16">
        <f>HYPERLINK("https://amazon.com/dp/B08P24Q1TD", "B08P24Q1TD")</f>
      </c>
      <c r="B495" t="s">
        <v>507</v>
      </c>
      <c r="C495" t="s">
        <v>13</v>
      </c>
      <c r="D495" t="n" s="17">
        <v>0</v>
      </c>
      <c r="E495" t="n" s="17">
        <v>0</v>
      </c>
      <c r="F495" t="n" s="17">
        <v>0</v>
      </c>
      <c r="G495" t="n" s="17">
        <v>0</v>
      </c>
      <c r="H495" t="n" s="17">
        <v>0</v>
      </c>
      <c r="I495" t="n" s="18">
        <v>0</v>
      </c>
      <c r="J495" t="n" s="17">
        <v>0</v>
      </c>
      <c r="K495" t="n" s="19">
        <v>0</v>
      </c>
    </row>
    <row r="496" hidden="0" ht="15" customHeight="1" spans="1:1">
      <c r="A496" t="str" s="16">
        <f>HYPERLINK("https://amazon.com/dp/B08VH4Q3NR", "B08VH4Q3NR")</f>
      </c>
      <c r="B496" t="s">
        <v>508</v>
      </c>
      <c r="C496" t="s">
        <v>13</v>
      </c>
      <c r="D496" t="n" s="17">
        <v>0</v>
      </c>
      <c r="E496" t="n" s="17">
        <v>235</v>
      </c>
      <c r="F496" t="n" s="17">
        <v>0</v>
      </c>
      <c r="G496" t="n" s="17">
        <v>0</v>
      </c>
      <c r="H496" t="n" s="17">
        <v>0</v>
      </c>
      <c r="I496" t="n" s="18">
        <v>0.0111</v>
      </c>
      <c r="J496" t="n" s="17">
        <v>4</v>
      </c>
      <c r="K496" t="n" s="19">
        <v>7620.64</v>
      </c>
    </row>
    <row r="497" hidden="0" ht="15" customHeight="1" spans="1:1">
      <c r="A497" t="str" s="16">
        <f>HYPERLINK("https://amazon.com/dp/B07VC31Q6S", "B07VC31Q6S")</f>
      </c>
      <c r="B497" t="s">
        <v>509</v>
      </c>
      <c r="C497" t="s">
        <v>13</v>
      </c>
      <c r="D497" t="n" s="17">
        <v>0</v>
      </c>
      <c r="E497" t="n" s="17">
        <v>0</v>
      </c>
      <c r="F497" t="n" s="17">
        <v>0</v>
      </c>
      <c r="G497" t="n" s="17">
        <v>0</v>
      </c>
      <c r="H497" t="n" s="17">
        <v>0</v>
      </c>
      <c r="I497" t="n" s="18">
        <v>0</v>
      </c>
      <c r="J497" t="n" s="17">
        <v>0</v>
      </c>
      <c r="K497" t="n" s="19">
        <v>0</v>
      </c>
    </row>
    <row r="498" hidden="0" ht="15" customHeight="1" spans="1:1">
      <c r="A498" t="str" s="16">
        <f>HYPERLINK("https://amazon.com/dp/B07NQ5YGDW", "B07NQ5YGDW")</f>
      </c>
      <c r="B498" t="s">
        <v>510</v>
      </c>
      <c r="C498" t="s">
        <v>13</v>
      </c>
      <c r="D498" t="n" s="17">
        <v>0</v>
      </c>
      <c r="E498" t="n" s="17">
        <v>0</v>
      </c>
      <c r="F498" t="n" s="17">
        <v>0</v>
      </c>
      <c r="G498" t="n" s="17">
        <v>0</v>
      </c>
      <c r="H498" t="n" s="17">
        <v>0</v>
      </c>
      <c r="I498" t="n" s="18">
        <v>0</v>
      </c>
      <c r="J498" t="n" s="17">
        <v>0</v>
      </c>
      <c r="K498" t="n" s="19">
        <v>0</v>
      </c>
    </row>
    <row r="499" hidden="0" ht="15" customHeight="1" spans="1:1">
      <c r="A499" t="str" s="16">
        <f>HYPERLINK("https://amazon.com/dp/B08GDBXVMS", "B08GDBXVMS")</f>
      </c>
      <c r="B499" t="s">
        <v>511</v>
      </c>
      <c r="C499" t="s">
        <v>13</v>
      </c>
      <c r="D499" t="n" s="17">
        <v>0</v>
      </c>
      <c r="E499" t="n" s="17">
        <v>0</v>
      </c>
      <c r="F499" t="n" s="17">
        <v>0</v>
      </c>
      <c r="G499" t="n" s="17">
        <v>0</v>
      </c>
      <c r="H499" t="n" s="17">
        <v>0</v>
      </c>
      <c r="I499" t="n" s="18">
        <v>0</v>
      </c>
      <c r="J499" t="n" s="17">
        <v>0</v>
      </c>
      <c r="K499" t="n" s="19">
        <v>0</v>
      </c>
    </row>
    <row r="500" hidden="0" ht="15" customHeight="1" spans="1:1">
      <c r="A500" t="str" s="16">
        <f>HYPERLINK("https://amazon.com/dp/B0F79RN99W", "B0F79RN99W")</f>
      </c>
      <c r="B500" t="s">
        <v>512</v>
      </c>
      <c r="C500" t="s">
        <v>13</v>
      </c>
      <c r="D500" t="n" s="17">
        <v>0</v>
      </c>
      <c r="E500" t="n" s="17">
        <v>0</v>
      </c>
      <c r="F500" t="n" s="17">
        <v>0</v>
      </c>
      <c r="G500" t="n" s="17">
        <v>0</v>
      </c>
      <c r="H500" t="n" s="17">
        <v>0</v>
      </c>
      <c r="I500" t="n" s="18">
        <v>0</v>
      </c>
      <c r="J500" t="n" s="17">
        <v>0</v>
      </c>
      <c r="K500" t="n" s="19">
        <v>0</v>
      </c>
    </row>
    <row r="501" hidden="0" ht="15" customHeight="1" spans="1:1">
      <c r="A501" t="str" s="16">
        <f>HYPERLINK("https://amazon.com/dp/B0CKPVC9DM", "B0CKPVC9DM")</f>
      </c>
      <c r="B501" t="s">
        <v>513</v>
      </c>
      <c r="C501" t="s">
        <v>13</v>
      </c>
      <c r="D501" t="n" s="17">
        <v>0</v>
      </c>
      <c r="E501" t="n" s="17">
        <v>0</v>
      </c>
      <c r="F501" t="n" s="17">
        <v>0</v>
      </c>
      <c r="G501" t="n" s="17">
        <v>0</v>
      </c>
      <c r="H501" t="n" s="17">
        <v>0</v>
      </c>
      <c r="I501" t="n" s="18">
        <v>0</v>
      </c>
      <c r="J501" t="n" s="17">
        <v>0</v>
      </c>
      <c r="K501" t="n" s="19">
        <v>0</v>
      </c>
    </row>
    <row r="502" hidden="0" ht="15" customHeight="1" spans="1:1">
      <c r="A502" t="str" s="16">
        <f>HYPERLINK("https://amazon.com/dp/B0G57S2RRR", "B0G57S2RRR")</f>
      </c>
      <c r="B502" t="s">
        <v>514</v>
      </c>
      <c r="C502" t="s">
        <v>13</v>
      </c>
      <c r="D502" t="n" s="17">
        <v>0</v>
      </c>
      <c r="E502" t="n" s="17">
        <v>920</v>
      </c>
      <c r="F502" t="n" s="17">
        <v>0</v>
      </c>
      <c r="G502" t="n" s="17">
        <v>0</v>
      </c>
      <c r="H502" t="n" s="17">
        <v>0</v>
      </c>
      <c r="I502" t="n" s="18">
        <v>0.0163</v>
      </c>
      <c r="J502" t="n" s="17">
        <v>15</v>
      </c>
      <c r="K502" t="n" s="19">
        <v>20925</v>
      </c>
    </row>
    <row r="503" hidden="0" ht="15" customHeight="1" spans="1:1">
      <c r="A503" t="str" s="16">
        <f>HYPERLINK("https://amazon.com/dp/B0B6CHGK25", "B0B6CHGK25")</f>
      </c>
      <c r="B503" t="s">
        <v>515</v>
      </c>
      <c r="C503" t="s">
        <v>16</v>
      </c>
      <c r="D503" t="n" s="17">
        <v>0</v>
      </c>
      <c r="E503" t="n" s="17">
        <v>0</v>
      </c>
      <c r="F503" t="n" s="17">
        <v>0</v>
      </c>
      <c r="G503" t="n" s="17">
        <v>0</v>
      </c>
      <c r="H503" t="n" s="17">
        <v>0</v>
      </c>
      <c r="I503" t="n" s="18">
        <v>0</v>
      </c>
      <c r="J503" t="n" s="17">
        <v>0</v>
      </c>
      <c r="K503" t="n" s="19">
        <v>0</v>
      </c>
    </row>
    <row r="504" hidden="0" ht="15" customHeight="1" spans="1:1">
      <c r="A504" t="str" s="16">
        <f>HYPERLINK("https://amazon.com/dp/B0783PHTJJ", "B0783PHTJJ")</f>
      </c>
      <c r="B504" t="s">
        <v>516</v>
      </c>
      <c r="C504" t="s">
        <v>13</v>
      </c>
      <c r="D504" t="n" s="17">
        <v>0</v>
      </c>
      <c r="E504" t="n" s="17">
        <v>0</v>
      </c>
      <c r="F504" t="n" s="17">
        <v>0</v>
      </c>
      <c r="G504" t="n" s="17">
        <v>0</v>
      </c>
      <c r="H504" t="n" s="17">
        <v>0</v>
      </c>
      <c r="I504" t="n" s="18">
        <v>0</v>
      </c>
      <c r="J504" t="n" s="17">
        <v>0</v>
      </c>
      <c r="K504" t="n" s="19">
        <v>0</v>
      </c>
    </row>
    <row r="505" hidden="0" ht="15" customHeight="1" spans="1:1">
      <c r="A505" t="str" s="16">
        <f>HYPERLINK("https://amazon.com/dp/B085PFRFKX", "B085PFRFKX")</f>
      </c>
      <c r="B505" t="s">
        <v>517</v>
      </c>
      <c r="C505" t="s">
        <v>13</v>
      </c>
      <c r="D505" t="n" s="17">
        <v>0</v>
      </c>
      <c r="E505" t="n" s="17">
        <v>56</v>
      </c>
      <c r="F505" t="n" s="17">
        <v>0</v>
      </c>
      <c r="G505" t="n" s="17">
        <v>0</v>
      </c>
      <c r="H505" t="n" s="17">
        <v>0</v>
      </c>
      <c r="I505" t="n" s="18">
        <v>0.0325</v>
      </c>
      <c r="J505" t="n" s="17">
        <v>8</v>
      </c>
      <c r="K505" t="n" s="19">
        <v>14576.04</v>
      </c>
    </row>
    <row r="506" hidden="0" ht="15" customHeight="1" spans="1:1">
      <c r="A506" t="str" s="16">
        <f>HYPERLINK("https://amazon.com/dp/B09DL5K9PP", "B09DL5K9PP")</f>
      </c>
      <c r="B506" t="s">
        <v>518</v>
      </c>
      <c r="C506" t="s">
        <v>13</v>
      </c>
      <c r="D506" t="n" s="17">
        <v>0</v>
      </c>
      <c r="E506" t="n" s="17">
        <v>0</v>
      </c>
      <c r="F506" t="n" s="17">
        <v>0</v>
      </c>
      <c r="G506" t="n" s="17">
        <v>0</v>
      </c>
      <c r="H506" t="n" s="17">
        <v>0</v>
      </c>
      <c r="I506" t="n" s="18">
        <v>0</v>
      </c>
      <c r="J506" t="n" s="17">
        <v>0</v>
      </c>
      <c r="K506" t="n" s="19">
        <v>0</v>
      </c>
    </row>
    <row r="507" hidden="0" ht="15" customHeight="1" spans="1:1">
      <c r="A507" t="str" s="16">
        <f>HYPERLINK("https://amazon.com/dp/B0CKPSJ523", "B0CKPSJ523")</f>
      </c>
      <c r="B507" t="s">
        <v>519</v>
      </c>
      <c r="C507" t="s">
        <v>13</v>
      </c>
      <c r="D507" t="n" s="17">
        <v>0</v>
      </c>
      <c r="E507" t="n" s="17">
        <v>0</v>
      </c>
      <c r="F507" t="n" s="17">
        <v>0</v>
      </c>
      <c r="G507" t="n" s="17">
        <v>0</v>
      </c>
      <c r="H507" t="n" s="17">
        <v>0</v>
      </c>
      <c r="I507" t="n" s="18">
        <v>0</v>
      </c>
      <c r="J507" t="n" s="17">
        <v>0</v>
      </c>
      <c r="K507" t="n" s="19">
        <v>0</v>
      </c>
    </row>
    <row r="508" hidden="0" ht="15" customHeight="1" spans="1:1">
      <c r="A508" t="str" s="16">
        <f>HYPERLINK("https://amazon.com/dp/B0C4SSQGV3", "B0C4SSQGV3")</f>
      </c>
      <c r="B508" t="s">
        <v>520</v>
      </c>
      <c r="C508" t="s">
        <v>13</v>
      </c>
      <c r="D508" t="n" s="17">
        <v>0</v>
      </c>
      <c r="E508" t="n" s="17">
        <v>29</v>
      </c>
      <c r="F508" t="n" s="17">
        <v>0</v>
      </c>
      <c r="G508" t="n" s="17">
        <v>0</v>
      </c>
      <c r="H508" t="n" s="17">
        <v>0</v>
      </c>
      <c r="I508" t="n" s="18">
        <v>0.1389</v>
      </c>
      <c r="J508" t="n" s="17">
        <v>5</v>
      </c>
      <c r="K508" t="n" s="19">
        <v>18454.15</v>
      </c>
    </row>
    <row r="509" hidden="0" ht="15" customHeight="1" spans="1:1">
      <c r="A509" t="str" s="16">
        <f>HYPERLINK("https://amazon.com/dp/B00194XKXA", "B00194XKXA")</f>
      </c>
      <c r="B509" t="s">
        <v>521</v>
      </c>
      <c r="C509" t="s">
        <v>13</v>
      </c>
      <c r="D509" t="n" s="17">
        <v>0</v>
      </c>
      <c r="E509" t="n" s="17">
        <v>32</v>
      </c>
      <c r="F509" t="n" s="17">
        <v>0</v>
      </c>
      <c r="G509" t="n" s="17">
        <v>0</v>
      </c>
      <c r="H509" t="n" s="17">
        <v>0</v>
      </c>
      <c r="I509" t="n" s="18">
        <v>0</v>
      </c>
      <c r="J509" t="n" s="17">
        <v>0</v>
      </c>
      <c r="K509" t="n" s="19">
        <v>0</v>
      </c>
    </row>
    <row r="510" hidden="0" ht="15" customHeight="1" spans="1:1">
      <c r="A510" t="str" s="16">
        <f>HYPERLINK("https://amazon.com/dp/B00N0OHEMA", "B00N0OHEMA")</f>
      </c>
      <c r="B510" t="s">
        <v>522</v>
      </c>
      <c r="C510" t="s">
        <v>13</v>
      </c>
      <c r="D510" t="n" s="17">
        <v>0</v>
      </c>
      <c r="E510" t="n" s="17">
        <v>137</v>
      </c>
      <c r="F510" t="n" s="17">
        <v>0</v>
      </c>
      <c r="G510" t="n" s="17">
        <v>0</v>
      </c>
      <c r="H510" t="n" s="17">
        <v>0</v>
      </c>
      <c r="I510" t="n" s="18">
        <v>0.0876</v>
      </c>
      <c r="J510" t="n" s="17">
        <v>12</v>
      </c>
      <c r="K510" t="n" s="19">
        <v>8776.68</v>
      </c>
    </row>
    <row r="511" hidden="0" ht="15" customHeight="1" spans="1:1">
      <c r="A511" t="str" s="16">
        <f>HYPERLINK("https://amazon.com/dp/B0C7CVCS83", "B0C7CVCS83")</f>
      </c>
      <c r="B511" t="s">
        <v>523</v>
      </c>
      <c r="C511" t="s">
        <v>13</v>
      </c>
      <c r="D511" t="n" s="17">
        <v>0</v>
      </c>
      <c r="E511" t="n" s="17">
        <v>0</v>
      </c>
      <c r="F511" t="n" s="17">
        <v>0</v>
      </c>
      <c r="G511" t="n" s="17">
        <v>0</v>
      </c>
      <c r="H511" t="n" s="17">
        <v>0</v>
      </c>
      <c r="I511" t="n" s="18">
        <v>0</v>
      </c>
      <c r="J511" t="n" s="17">
        <v>0</v>
      </c>
      <c r="K511" t="n" s="19">
        <v>0</v>
      </c>
    </row>
    <row r="512" hidden="0" ht="15" customHeight="1" spans="1:1">
      <c r="A512" t="str" s="16">
        <f>HYPERLINK("https://amazon.com/dp/B0CJ9R466Z", "B0CJ9R466Z")</f>
      </c>
      <c r="B512" t="s">
        <v>524</v>
      </c>
      <c r="C512" t="s">
        <v>16</v>
      </c>
      <c r="D512" t="n" s="17">
        <v>0</v>
      </c>
      <c r="E512" t="n" s="17">
        <v>0</v>
      </c>
      <c r="F512" t="n" s="17">
        <v>0</v>
      </c>
      <c r="G512" t="n" s="17">
        <v>0</v>
      </c>
      <c r="H512" t="n" s="17">
        <v>0</v>
      </c>
      <c r="I512" t="n" s="18">
        <v>0</v>
      </c>
      <c r="J512" t="n" s="17">
        <v>0</v>
      </c>
      <c r="K512" t="n" s="19">
        <v>0</v>
      </c>
    </row>
    <row r="513" hidden="0" ht="15" customHeight="1" spans="1:1">
      <c r="A513" t="str" s="16">
        <f>HYPERLINK("https://amazon.com/dp/B077998TGL", "B077998TGL")</f>
      </c>
      <c r="B513" t="s">
        <v>525</v>
      </c>
      <c r="C513" t="s">
        <v>13</v>
      </c>
      <c r="D513" t="n" s="17">
        <v>0</v>
      </c>
      <c r="E513" t="n" s="17">
        <v>0</v>
      </c>
      <c r="F513" t="n" s="17">
        <v>0</v>
      </c>
      <c r="G513" t="n" s="17">
        <v>0</v>
      </c>
      <c r="H513" t="n" s="17">
        <v>0</v>
      </c>
      <c r="I513" t="n" s="18">
        <v>0</v>
      </c>
      <c r="J513" t="n" s="17">
        <v>0</v>
      </c>
      <c r="K513" t="n" s="19">
        <v>0</v>
      </c>
    </row>
    <row r="514" hidden="0" ht="15" customHeight="1" spans="1:1">
      <c r="A514" t="str" s="16">
        <f>HYPERLINK("https://amazon.com/dp/B09ZBGWYH9", "B09ZBGWYH9")</f>
      </c>
      <c r="B514" t="s">
        <v>526</v>
      </c>
      <c r="C514" t="s">
        <v>16</v>
      </c>
      <c r="D514" t="n" s="17">
        <v>0</v>
      </c>
      <c r="E514" t="n" s="17">
        <v>0</v>
      </c>
      <c r="F514" t="n" s="17">
        <v>0</v>
      </c>
      <c r="G514" t="n" s="17">
        <v>0</v>
      </c>
      <c r="H514" t="n" s="17">
        <v>0</v>
      </c>
      <c r="I514" t="n" s="18">
        <v>0</v>
      </c>
      <c r="J514" t="n" s="17">
        <v>0</v>
      </c>
      <c r="K514" t="n" s="19">
        <v>0</v>
      </c>
    </row>
    <row r="515" hidden="0" ht="15" customHeight="1" spans="1:1">
      <c r="A515" t="str" s="16">
        <f>HYPERLINK("https://amazon.com/dp/B00V4BGD00", "B00V4BGD00")</f>
      </c>
      <c r="B515" t="s">
        <v>527</v>
      </c>
      <c r="C515" t="s">
        <v>13</v>
      </c>
      <c r="D515" t="n" s="17">
        <v>0</v>
      </c>
      <c r="E515" t="n" s="17">
        <v>680</v>
      </c>
      <c r="F515" t="n" s="17">
        <v>0</v>
      </c>
      <c r="G515" t="n" s="17">
        <v>0</v>
      </c>
      <c r="H515" t="n" s="17">
        <v>0</v>
      </c>
      <c r="I515" t="n" s="18">
        <v>0.0466</v>
      </c>
      <c r="J515" t="n" s="17">
        <v>32</v>
      </c>
      <c r="K515" t="n" s="19">
        <v>13577.28</v>
      </c>
    </row>
    <row r="516" hidden="0" ht="15" customHeight="1" spans="1:1">
      <c r="A516" t="str" s="16">
        <f>HYPERLINK("https://amazon.com/dp/B0088TKTY2", "B0088TKTY2")</f>
      </c>
      <c r="B516" t="s">
        <v>528</v>
      </c>
      <c r="C516" t="s">
        <v>13</v>
      </c>
      <c r="D516" t="n" s="17">
        <v>0</v>
      </c>
      <c r="E516" t="n" s="17">
        <v>0</v>
      </c>
      <c r="F516" t="n" s="17">
        <v>0</v>
      </c>
      <c r="G516" t="n" s="17">
        <v>0</v>
      </c>
      <c r="H516" t="n" s="17">
        <v>0</v>
      </c>
      <c r="I516" t="n" s="18">
        <v>0</v>
      </c>
      <c r="J516" t="n" s="17">
        <v>0</v>
      </c>
      <c r="K516" t="n" s="19">
        <v>0</v>
      </c>
    </row>
    <row r="517" hidden="0" ht="15" customHeight="1" spans="1:1">
      <c r="A517" t="str" s="16">
        <f>HYPERLINK("https://amazon.com/dp/B07L44RHC2", "B07L44RHC2")</f>
      </c>
      <c r="B517" t="s">
        <v>529</v>
      </c>
      <c r="C517" t="s">
        <v>13</v>
      </c>
      <c r="D517" t="n" s="17">
        <v>0</v>
      </c>
      <c r="E517" t="n" s="17">
        <v>215</v>
      </c>
      <c r="F517" t="n" s="17">
        <v>0</v>
      </c>
      <c r="G517" t="n" s="17">
        <v>0</v>
      </c>
      <c r="H517" t="n" s="17">
        <v>0</v>
      </c>
      <c r="I517" t="n" s="18">
        <v>0.0463</v>
      </c>
      <c r="J517" t="n" s="17">
        <v>12</v>
      </c>
      <c r="K517" t="n" s="19">
        <v>17470.8</v>
      </c>
    </row>
    <row r="518" hidden="0" ht="15" customHeight="1" spans="1:1">
      <c r="A518" t="str" s="16">
        <f>HYPERLINK("https://amazon.com/dp/B09K6D67NB", "B09K6D67NB")</f>
      </c>
      <c r="B518" t="s">
        <v>530</v>
      </c>
      <c r="C518" t="s">
        <v>13</v>
      </c>
      <c r="D518" t="n" s="17">
        <v>0</v>
      </c>
      <c r="E518" t="n" s="17">
        <v>0</v>
      </c>
      <c r="F518" t="n" s="17">
        <v>0</v>
      </c>
      <c r="G518" t="n" s="17">
        <v>0</v>
      </c>
      <c r="H518" t="n" s="17">
        <v>0</v>
      </c>
      <c r="I518" t="n" s="18">
        <v>0</v>
      </c>
      <c r="J518" t="n" s="17">
        <v>0</v>
      </c>
      <c r="K518" t="n" s="19">
        <v>0</v>
      </c>
    </row>
    <row r="519" hidden="0" ht="15" customHeight="1" spans="1:1">
      <c r="A519" t="str" s="16">
        <f>HYPERLINK("https://amazon.com/dp/B09ZRY9YHB", "B09ZRY9YHB")</f>
      </c>
      <c r="B519" t="s">
        <v>531</v>
      </c>
      <c r="C519" t="s">
        <v>13</v>
      </c>
      <c r="D519" t="n" s="17">
        <v>0</v>
      </c>
      <c r="E519" t="n" s="17">
        <v>0</v>
      </c>
      <c r="F519" t="n" s="17">
        <v>0</v>
      </c>
      <c r="G519" t="n" s="17">
        <v>0</v>
      </c>
      <c r="H519" t="n" s="17">
        <v>0</v>
      </c>
      <c r="I519" t="n" s="18">
        <v>0</v>
      </c>
      <c r="J519" t="n" s="17">
        <v>0</v>
      </c>
      <c r="K519" t="n" s="19">
        <v>0</v>
      </c>
    </row>
    <row r="520" hidden="0" ht="15" customHeight="1" spans="1:1">
      <c r="A520" t="str" s="16">
        <f>HYPERLINK("https://amazon.com/dp/B00LI3Y6TE", "B00LI3Y6TE")</f>
      </c>
      <c r="B520" t="s">
        <v>532</v>
      </c>
      <c r="C520" t="s">
        <v>13</v>
      </c>
      <c r="D520" t="n" s="17">
        <v>0</v>
      </c>
      <c r="E520" t="n" s="17">
        <v>0</v>
      </c>
      <c r="F520" t="n" s="17">
        <v>0</v>
      </c>
      <c r="G520" t="n" s="17">
        <v>0</v>
      </c>
      <c r="H520" t="n" s="17">
        <v>0</v>
      </c>
      <c r="I520" t="n" s="18">
        <v>0</v>
      </c>
      <c r="J520" t="n" s="17">
        <v>0</v>
      </c>
      <c r="K520" t="n" s="19">
        <v>0</v>
      </c>
    </row>
    <row r="521" hidden="0" ht="15" customHeight="1" spans="1:1">
      <c r="A521" t="str" s="16">
        <f>HYPERLINK("https://amazon.com/dp/B0038X3RVA", "B0038X3RVA")</f>
      </c>
      <c r="B521" t="s">
        <v>533</v>
      </c>
      <c r="C521" t="s">
        <v>13</v>
      </c>
      <c r="D521" t="n" s="17">
        <v>0</v>
      </c>
      <c r="E521" t="n" s="17">
        <v>0</v>
      </c>
      <c r="F521" t="n" s="17">
        <v>0</v>
      </c>
      <c r="G521" t="n" s="17">
        <v>0</v>
      </c>
      <c r="H521" t="n" s="17">
        <v>0</v>
      </c>
      <c r="I521" t="n" s="18">
        <v>0</v>
      </c>
      <c r="J521" t="n" s="17">
        <v>0</v>
      </c>
      <c r="K521" t="n" s="19">
        <v>0</v>
      </c>
    </row>
    <row r="522" hidden="0" ht="15" customHeight="1" spans="1:1">
      <c r="A522" t="str" s="16">
        <f>HYPERLINK("https://amazon.com/dp/B0F5B8K9LB", "B0F5B8K9LB")</f>
      </c>
      <c r="B522" t="s">
        <v>534</v>
      </c>
      <c r="C522" t="s">
        <v>29</v>
      </c>
      <c r="D522" t="n" s="17">
        <v>0</v>
      </c>
      <c r="E522" t="n" s="17">
        <v>0</v>
      </c>
      <c r="F522" t="n" s="17">
        <v>0</v>
      </c>
      <c r="G522" t="n" s="17">
        <v>0</v>
      </c>
      <c r="H522" t="n" s="17">
        <v>0</v>
      </c>
      <c r="I522" t="n" s="18">
        <v>0</v>
      </c>
      <c r="J522" t="n" s="17">
        <v>0</v>
      </c>
      <c r="K522" t="n" s="19">
        <v>0</v>
      </c>
    </row>
    <row r="523" hidden="0" ht="15" customHeight="1" spans="1:1">
      <c r="A523" t="str" s="16">
        <f>HYPERLINK("https://amazon.com/dp/B0DQXQXWDL", "B0DQXQXWDL")</f>
      </c>
      <c r="B523" t="s">
        <v>535</v>
      </c>
      <c r="C523" t="s">
        <v>16</v>
      </c>
      <c r="D523" t="n" s="17">
        <v>0</v>
      </c>
      <c r="E523" t="n" s="17">
        <v>16</v>
      </c>
      <c r="F523" t="n" s="17">
        <v>0</v>
      </c>
      <c r="G523" t="n" s="17">
        <v>0</v>
      </c>
      <c r="H523" t="n" s="17">
        <v>0</v>
      </c>
      <c r="I523" t="n" s="18">
        <v>0</v>
      </c>
      <c r="J523" t="n" s="17">
        <v>0</v>
      </c>
      <c r="K523" t="n" s="19">
        <v>0</v>
      </c>
    </row>
    <row r="524" hidden="0" ht="15" customHeight="1" spans="1:1">
      <c r="A524" t="str" s="16">
        <f>HYPERLINK("https://amazon.com/dp/B09SGJRKBW", "B09SGJRKBW")</f>
      </c>
      <c r="B524" t="s">
        <v>536</v>
      </c>
      <c r="C524" t="s">
        <v>13</v>
      </c>
      <c r="D524" t="n" s="17">
        <v>0</v>
      </c>
      <c r="E524" t="n" s="17">
        <v>60</v>
      </c>
      <c r="F524" t="n" s="17">
        <v>0</v>
      </c>
      <c r="G524" t="n" s="17">
        <v>0</v>
      </c>
      <c r="H524" t="n" s="17">
        <v>0</v>
      </c>
      <c r="I524" t="n" s="18">
        <v>0.0333</v>
      </c>
      <c r="J524" t="n" s="17">
        <v>2</v>
      </c>
      <c r="K524" t="n" s="19">
        <v>1331.66</v>
      </c>
    </row>
    <row r="525" hidden="0" ht="15" customHeight="1" spans="1:1">
      <c r="A525" t="str" s="16">
        <f>HYPERLINK("https://amazon.com/dp/B01NARHG7X", "B01NARHG7X")</f>
      </c>
      <c r="B525" t="s">
        <v>537</v>
      </c>
      <c r="C525" t="s">
        <v>29</v>
      </c>
      <c r="D525" t="n" s="17">
        <v>0</v>
      </c>
      <c r="E525" t="n" s="17">
        <v>0</v>
      </c>
      <c r="F525" t="n" s="17">
        <v>0</v>
      </c>
      <c r="G525" t="n" s="17">
        <v>0</v>
      </c>
      <c r="H525" t="n" s="17">
        <v>0</v>
      </c>
      <c r="I525" t="n" s="18">
        <v>0</v>
      </c>
      <c r="J525" t="n" s="17">
        <v>0</v>
      </c>
      <c r="K525" t="n" s="19">
        <v>0</v>
      </c>
    </row>
    <row r="526" hidden="0" ht="15" customHeight="1" spans="1:1">
      <c r="A526" t="str" s="16">
        <f>HYPERLINK("https://amazon.com/dp/B00OO47F0G", "B00OO47F0G")</f>
      </c>
      <c r="B526" t="s">
        <v>538</v>
      </c>
      <c r="C526" t="s">
        <v>13</v>
      </c>
      <c r="D526" t="n" s="17">
        <v>0</v>
      </c>
      <c r="E526" t="n" s="17">
        <v>150</v>
      </c>
      <c r="F526" t="n" s="17">
        <v>0</v>
      </c>
      <c r="G526" t="n" s="17">
        <v>0</v>
      </c>
      <c r="H526" t="n" s="17">
        <v>0</v>
      </c>
      <c r="I526" t="n" s="18">
        <v>0.0301</v>
      </c>
      <c r="J526" t="n" s="17">
        <v>5</v>
      </c>
      <c r="K526" t="n" s="19">
        <v>6488.28</v>
      </c>
    </row>
    <row r="527" hidden="0" ht="15" customHeight="1" spans="1:1">
      <c r="A527" t="str" s="16">
        <f>HYPERLINK("https://amazon.com/dp/B0FXJ739JQ", "B0FXJ739JQ")</f>
      </c>
      <c r="B527" t="s">
        <v>539</v>
      </c>
      <c r="C527" t="s">
        <v>16</v>
      </c>
      <c r="D527" t="n" s="17">
        <v>0</v>
      </c>
      <c r="E527" t="n" s="17">
        <v>297</v>
      </c>
      <c r="F527" t="n" s="17">
        <v>0</v>
      </c>
      <c r="G527" t="n" s="17">
        <v>0</v>
      </c>
      <c r="H527" t="n" s="17">
        <v>0</v>
      </c>
      <c r="I527" t="n" s="18">
        <v>0.0196</v>
      </c>
      <c r="J527" t="n" s="17">
        <v>6</v>
      </c>
      <c r="K527" t="n" s="19">
        <v>23437.5</v>
      </c>
    </row>
    <row r="528" hidden="0" ht="15" customHeight="1" spans="1:1">
      <c r="A528" t="str" s="16">
        <f>HYPERLINK("https://amazon.com/dp/B0BFBC7VB4", "B0BFBC7VB4")</f>
      </c>
      <c r="B528" t="s">
        <v>540</v>
      </c>
      <c r="C528" t="s">
        <v>13</v>
      </c>
      <c r="D528" t="n" s="17">
        <v>0</v>
      </c>
      <c r="E528" t="n" s="17">
        <v>0</v>
      </c>
      <c r="F528" t="n" s="17">
        <v>0</v>
      </c>
      <c r="G528" t="n" s="17">
        <v>0</v>
      </c>
      <c r="H528" t="n" s="17">
        <v>0</v>
      </c>
      <c r="I528" t="n" s="18">
        <v>0</v>
      </c>
      <c r="J528" t="n" s="17">
        <v>0</v>
      </c>
      <c r="K528" t="n" s="19">
        <v>0</v>
      </c>
    </row>
    <row r="529" hidden="0" ht="15" customHeight="1" spans="1:1">
      <c r="A529" t="str" s="16">
        <f>HYPERLINK("https://amazon.com/dp/B07FY5X9P6", "B07FY5X9P6")</f>
      </c>
      <c r="B529" t="s">
        <v>541</v>
      </c>
      <c r="C529" t="s">
        <v>13</v>
      </c>
      <c r="D529" t="n" s="17">
        <v>0</v>
      </c>
      <c r="E529" t="n" s="17">
        <v>0</v>
      </c>
      <c r="F529" t="n" s="17">
        <v>0</v>
      </c>
      <c r="G529" t="n" s="17">
        <v>0</v>
      </c>
      <c r="H529" t="n" s="17">
        <v>0</v>
      </c>
      <c r="I529" t="n" s="18">
        <v>0</v>
      </c>
      <c r="J529" t="n" s="17">
        <v>0</v>
      </c>
      <c r="K529" t="n" s="19">
        <v>0</v>
      </c>
    </row>
    <row r="530" hidden="0" ht="15" customHeight="1" spans="1:1">
      <c r="A530" t="str" s="16">
        <f>HYPERLINK("https://amazon.com/dp/B08JLR2751", "B08JLR2751")</f>
      </c>
      <c r="B530" t="s">
        <v>542</v>
      </c>
      <c r="C530" t="s">
        <v>16</v>
      </c>
      <c r="D530" t="n" s="17">
        <v>0</v>
      </c>
      <c r="E530" t="n" s="17">
        <v>3</v>
      </c>
      <c r="F530" t="n" s="17">
        <v>0</v>
      </c>
      <c r="G530" t="n" s="17">
        <v>0</v>
      </c>
      <c r="H530" t="n" s="17">
        <v>0</v>
      </c>
      <c r="I530" t="n" s="18">
        <v>0</v>
      </c>
      <c r="J530" t="n" s="17">
        <v>0</v>
      </c>
      <c r="K530" t="n" s="19">
        <v>0</v>
      </c>
    </row>
    <row r="531" hidden="0" ht="15" customHeight="1" spans="1:1">
      <c r="A531" t="str" s="16">
        <f>HYPERLINK("https://amazon.com/dp/B0GS93F83Q", "B0GS93F83Q")</f>
      </c>
      <c r="B531" t="s">
        <v>543</v>
      </c>
      <c r="C531" t="s">
        <v>13</v>
      </c>
      <c r="D531" t="n" s="17">
        <v>0</v>
      </c>
      <c r="E531" t="n" s="17">
        <v>0</v>
      </c>
      <c r="F531" t="n" s="17">
        <v>0</v>
      </c>
      <c r="G531" t="n" s="17">
        <v>0</v>
      </c>
      <c r="H531" t="n" s="17">
        <v>0</v>
      </c>
      <c r="I531" t="n" s="18">
        <v>0</v>
      </c>
      <c r="J531" t="n" s="17">
        <v>0</v>
      </c>
      <c r="K531" t="n" s="19">
        <v>0</v>
      </c>
    </row>
    <row r="532" hidden="0" ht="15" customHeight="1" spans="1:1">
      <c r="A532" t="str" s="16">
        <f>HYPERLINK("https://amazon.com/dp/B08R3ZDTHD", "B08R3ZDTHD")</f>
      </c>
      <c r="B532" t="s">
        <v>544</v>
      </c>
      <c r="C532" t="s">
        <v>13</v>
      </c>
      <c r="D532" t="n" s="17">
        <v>0</v>
      </c>
      <c r="E532" t="n" s="17">
        <v>0</v>
      </c>
      <c r="F532" t="n" s="17">
        <v>0</v>
      </c>
      <c r="G532" t="n" s="17">
        <v>0</v>
      </c>
      <c r="H532" t="n" s="17">
        <v>0</v>
      </c>
      <c r="I532" t="n" s="18">
        <v>0</v>
      </c>
      <c r="J532" t="n" s="17">
        <v>0</v>
      </c>
      <c r="K532" t="n" s="19">
        <v>0</v>
      </c>
    </row>
    <row r="533" hidden="0" ht="15" customHeight="1" spans="1:1">
      <c r="A533" t="str" s="16">
        <f>HYPERLINK("https://amazon.com/dp/B0C8BJ9ZLB", "B0C8BJ9ZLB")</f>
      </c>
      <c r="B533" t="s">
        <v>545</v>
      </c>
      <c r="C533" t="s">
        <v>16</v>
      </c>
      <c r="D533" t="n" s="17">
        <v>0</v>
      </c>
      <c r="E533" t="n" s="17">
        <v>0</v>
      </c>
      <c r="F533" t="n" s="17">
        <v>0</v>
      </c>
      <c r="G533" t="n" s="17">
        <v>0</v>
      </c>
      <c r="H533" t="n" s="17">
        <v>0</v>
      </c>
      <c r="I533" t="n" s="18">
        <v>0</v>
      </c>
      <c r="J533" t="n" s="17">
        <v>0</v>
      </c>
      <c r="K533" t="n" s="19">
        <v>0</v>
      </c>
    </row>
    <row r="534" hidden="0" ht="15" customHeight="1" spans="1:1">
      <c r="A534" t="str" s="16">
        <f>HYPERLINK("https://amazon.com/dp/B07TW8RZV8", "B07TW8RZV8")</f>
      </c>
      <c r="B534" t="s">
        <v>546</v>
      </c>
      <c r="C534" t="s">
        <v>13</v>
      </c>
      <c r="D534" t="n" s="17">
        <v>0</v>
      </c>
      <c r="E534" t="n" s="17">
        <v>138</v>
      </c>
      <c r="F534" t="n" s="17">
        <v>0</v>
      </c>
      <c r="G534" t="n" s="17">
        <v>0</v>
      </c>
      <c r="H534" t="n" s="17">
        <v>0</v>
      </c>
      <c r="I534" t="n" s="18">
        <v>0.0455</v>
      </c>
      <c r="J534" t="n" s="17">
        <v>8</v>
      </c>
      <c r="K534" t="n" s="19">
        <v>30433.36</v>
      </c>
    </row>
    <row r="535" hidden="0" ht="15" customHeight="1" spans="1:1">
      <c r="A535" t="str" s="16">
        <f>HYPERLINK("https://amazon.com/dp/B0FGXYMJ6M", "B0FGXYMJ6M")</f>
      </c>
      <c r="B535" t="s">
        <v>547</v>
      </c>
      <c r="C535" t="s">
        <v>29</v>
      </c>
      <c r="D535" t="n" s="17">
        <v>0</v>
      </c>
      <c r="E535" t="n" s="17">
        <v>29</v>
      </c>
      <c r="F535" t="n" s="17">
        <v>0</v>
      </c>
      <c r="G535" t="n" s="17">
        <v>0</v>
      </c>
      <c r="H535" t="n" s="17">
        <v>0</v>
      </c>
      <c r="I535" t="n" s="18">
        <v>0</v>
      </c>
      <c r="J535" t="n" s="17">
        <v>0</v>
      </c>
      <c r="K535" t="n" s="19">
        <v>0</v>
      </c>
    </row>
    <row r="536" hidden="0" ht="15" customHeight="1" spans="1:1">
      <c r="A536" t="str" s="16">
        <f>HYPERLINK("https://amazon.com/dp/B0BRKF2CB1", "B0BRKF2CB1")</f>
      </c>
      <c r="B536" t="s">
        <v>548</v>
      </c>
      <c r="C536" t="s">
        <v>13</v>
      </c>
      <c r="D536" t="n" s="17">
        <v>0</v>
      </c>
      <c r="E536" t="n" s="17">
        <v>0</v>
      </c>
      <c r="F536" t="n" s="17">
        <v>0</v>
      </c>
      <c r="G536" t="n" s="17">
        <v>0</v>
      </c>
      <c r="H536" t="n" s="17">
        <v>0</v>
      </c>
      <c r="I536" t="n" s="18">
        <v>0</v>
      </c>
      <c r="J536" t="n" s="17">
        <v>0</v>
      </c>
      <c r="K536" t="n" s="19">
        <v>0</v>
      </c>
    </row>
    <row r="537" hidden="0" ht="15" customHeight="1" spans="1:1">
      <c r="A537" t="str" s="16">
        <f>HYPERLINK("https://amazon.com/dp/B014VB4N4M", "B014VB4N4M")</f>
      </c>
      <c r="B537" t="s">
        <v>549</v>
      </c>
      <c r="C537" t="s">
        <v>13</v>
      </c>
      <c r="D537" t="n" s="17">
        <v>0</v>
      </c>
      <c r="E537" t="n" s="17">
        <v>56</v>
      </c>
      <c r="F537" t="n" s="17">
        <v>0</v>
      </c>
      <c r="G537" t="n" s="17">
        <v>0</v>
      </c>
      <c r="H537" t="n" s="17">
        <v>0</v>
      </c>
      <c r="I537" t="n" s="18">
        <v>0.0536</v>
      </c>
      <c r="J537" t="n" s="17">
        <v>3</v>
      </c>
      <c r="K537" t="n" s="19">
        <v>6501.09</v>
      </c>
    </row>
    <row r="538" hidden="0" ht="15" customHeight="1" spans="1:1">
      <c r="A538" t="str" s="16">
        <f>HYPERLINK("https://amazon.com/dp/B0DQTM4313", "B0DQTM4313")</f>
      </c>
      <c r="B538" t="s">
        <v>550</v>
      </c>
      <c r="C538" t="s">
        <v>13</v>
      </c>
      <c r="D538" t="n" s="17">
        <v>0</v>
      </c>
      <c r="E538" t="n" s="17">
        <v>0</v>
      </c>
      <c r="F538" t="n" s="17">
        <v>0</v>
      </c>
      <c r="G538" t="n" s="17">
        <v>0</v>
      </c>
      <c r="H538" t="n" s="17">
        <v>0</v>
      </c>
      <c r="I538" t="n" s="18">
        <v>0</v>
      </c>
      <c r="J538" t="n" s="17">
        <v>0</v>
      </c>
      <c r="K538" t="n" s="19">
        <v>0</v>
      </c>
    </row>
    <row r="539" hidden="0" ht="15" customHeight="1" spans="1:1">
      <c r="A539" t="str" s="16">
        <f>HYPERLINK("https://amazon.com/dp/B095SYK1R9", "B095SYK1R9")</f>
      </c>
      <c r="B539" t="s">
        <v>551</v>
      </c>
      <c r="C539" t="s">
        <v>13</v>
      </c>
      <c r="D539" t="n" s="17">
        <v>0</v>
      </c>
      <c r="E539" t="n" s="17">
        <v>0</v>
      </c>
      <c r="F539" t="n" s="17">
        <v>0</v>
      </c>
      <c r="G539" t="n" s="17">
        <v>0</v>
      </c>
      <c r="H539" t="n" s="17">
        <v>0</v>
      </c>
      <c r="I539" t="n" s="18">
        <v>0</v>
      </c>
      <c r="J539" t="n" s="17">
        <v>0</v>
      </c>
      <c r="K539" t="n" s="19">
        <v>0</v>
      </c>
    </row>
    <row r="540" hidden="0" ht="15" customHeight="1" spans="1:1">
      <c r="A540" t="str" s="16">
        <f>HYPERLINK("https://amazon.com/dp/B0BNYT4764", "B0BNYT4764")</f>
      </c>
      <c r="B540" t="s">
        <v>552</v>
      </c>
      <c r="C540" t="s">
        <v>13</v>
      </c>
      <c r="D540" t="n" s="17">
        <v>0</v>
      </c>
      <c r="E540" t="n" s="17">
        <v>0</v>
      </c>
      <c r="F540" t="n" s="17">
        <v>0</v>
      </c>
      <c r="G540" t="n" s="17">
        <v>0</v>
      </c>
      <c r="H540" t="n" s="17">
        <v>0</v>
      </c>
      <c r="I540" t="n" s="18">
        <v>0</v>
      </c>
      <c r="J540" t="n" s="17">
        <v>0</v>
      </c>
      <c r="K540" t="n" s="19">
        <v>0</v>
      </c>
    </row>
    <row r="541" hidden="0" ht="15" customHeight="1" spans="1:1">
      <c r="A541" t="str" s="16">
        <f>HYPERLINK("https://amazon.com/dp/B07NB1DL86", "B07NB1DL86")</f>
      </c>
      <c r="B541" t="s">
        <v>553</v>
      </c>
      <c r="C541" t="s">
        <v>13</v>
      </c>
      <c r="D541" t="n" s="17">
        <v>0</v>
      </c>
      <c r="E541" t="n" s="17">
        <v>0</v>
      </c>
      <c r="F541" t="n" s="17">
        <v>0</v>
      </c>
      <c r="G541" t="n" s="17">
        <v>0</v>
      </c>
      <c r="H541" t="n" s="17">
        <v>0</v>
      </c>
      <c r="I541" t="n" s="18">
        <v>0</v>
      </c>
      <c r="J541" t="n" s="17">
        <v>0</v>
      </c>
      <c r="K541" t="n" s="19">
        <v>0</v>
      </c>
    </row>
    <row r="542" hidden="0" ht="15" customHeight="1" spans="1:1">
      <c r="A542" t="str" s="16">
        <f>HYPERLINK("https://amazon.com/dp/B075ZZJPK1", "B075ZZJPK1")</f>
      </c>
      <c r="B542" t="s">
        <v>554</v>
      </c>
      <c r="C542" t="s">
        <v>13</v>
      </c>
      <c r="D542" t="n" s="17">
        <v>0</v>
      </c>
      <c r="E542" t="n" s="17">
        <v>0</v>
      </c>
      <c r="F542" t="n" s="17">
        <v>0</v>
      </c>
      <c r="G542" t="n" s="17">
        <v>0</v>
      </c>
      <c r="H542" t="n" s="17">
        <v>0</v>
      </c>
      <c r="I542" t="n" s="18">
        <v>0</v>
      </c>
      <c r="J542" t="n" s="17">
        <v>0</v>
      </c>
      <c r="K542" t="n" s="19">
        <v>0</v>
      </c>
    </row>
    <row r="543" hidden="0" ht="15" customHeight="1" spans="1:1">
      <c r="A543" t="str" s="16">
        <f>HYPERLINK("https://amazon.com/dp/B08BS3SHZV", "B08BS3SHZV")</f>
      </c>
      <c r="B543" t="s">
        <v>555</v>
      </c>
      <c r="C543" t="s">
        <v>13</v>
      </c>
      <c r="D543" t="n" s="17">
        <v>0</v>
      </c>
      <c r="E543" t="n" s="17">
        <v>74</v>
      </c>
      <c r="F543" t="n" s="17">
        <v>0</v>
      </c>
      <c r="G543" t="n" s="17">
        <v>0</v>
      </c>
      <c r="H543" t="n" s="17">
        <v>0</v>
      </c>
      <c r="I543" t="n" s="18">
        <v>0</v>
      </c>
      <c r="J543" t="n" s="17">
        <v>0</v>
      </c>
      <c r="K543" t="n" s="19">
        <v>0</v>
      </c>
    </row>
    <row r="544" hidden="0" ht="15" customHeight="1" spans="1:1">
      <c r="A544" t="str" s="16">
        <f>HYPERLINK("https://amazon.com/dp/B0BJ29SB2F", "B0BJ29SB2F")</f>
      </c>
      <c r="B544" t="s">
        <v>556</v>
      </c>
      <c r="C544" t="s">
        <v>16</v>
      </c>
      <c r="D544" t="n" s="17">
        <v>0</v>
      </c>
      <c r="E544" t="n" s="17">
        <v>0</v>
      </c>
      <c r="F544" t="n" s="17">
        <v>0</v>
      </c>
      <c r="G544" t="n" s="17">
        <v>0</v>
      </c>
      <c r="H544" t="n" s="17">
        <v>0</v>
      </c>
      <c r="I544" t="n" s="18">
        <v>0</v>
      </c>
      <c r="J544" t="n" s="17">
        <v>0</v>
      </c>
      <c r="K544" t="n" s="19">
        <v>0</v>
      </c>
    </row>
    <row r="545" hidden="0" ht="15" customHeight="1" spans="1:1">
      <c r="A545" t="str" s="16">
        <f>HYPERLINK("https://amazon.com/dp/B0BG5HX693", "B0BG5HX693")</f>
      </c>
      <c r="B545" t="s">
        <v>557</v>
      </c>
      <c r="C545" t="s">
        <v>13</v>
      </c>
      <c r="D545" t="n" s="17">
        <v>0</v>
      </c>
      <c r="E545" t="n" s="17">
        <v>0</v>
      </c>
      <c r="F545" t="n" s="17">
        <v>0</v>
      </c>
      <c r="G545" t="n" s="17">
        <v>0</v>
      </c>
      <c r="H545" t="n" s="17">
        <v>0</v>
      </c>
      <c r="I545" t="n" s="18">
        <v>0</v>
      </c>
      <c r="J545" t="n" s="17">
        <v>0</v>
      </c>
      <c r="K545" t="n" s="19">
        <v>0</v>
      </c>
    </row>
    <row r="546" hidden="0" ht="15" customHeight="1" spans="1:1">
      <c r="A546" t="str" s="16">
        <f>HYPERLINK("https://amazon.com/dp/B079GZNQ2B", "B079GZNQ2B")</f>
      </c>
      <c r="B546" t="s">
        <v>558</v>
      </c>
      <c r="C546" t="s">
        <v>13</v>
      </c>
      <c r="D546" t="n" s="17">
        <v>0</v>
      </c>
      <c r="E546" t="n" s="17">
        <v>2</v>
      </c>
      <c r="F546" t="n" s="17">
        <v>0</v>
      </c>
      <c r="G546" t="n" s="17">
        <v>0</v>
      </c>
      <c r="H546" t="n" s="17">
        <v>0</v>
      </c>
      <c r="I546" t="n" s="18">
        <v>0</v>
      </c>
      <c r="J546" t="n" s="17">
        <v>0</v>
      </c>
      <c r="K546" t="n" s="19">
        <v>0</v>
      </c>
    </row>
    <row r="547" hidden="0" ht="15" customHeight="1" spans="1:1">
      <c r="A547" t="str" s="16">
        <f>HYPERLINK("https://amazon.com/dp/B0D544WSFP", "B0D544WSFP")</f>
      </c>
      <c r="B547" t="s">
        <v>559</v>
      </c>
      <c r="C547" t="s">
        <v>16</v>
      </c>
      <c r="D547" t="n" s="17">
        <v>0</v>
      </c>
      <c r="E547" t="n" s="17">
        <v>0</v>
      </c>
      <c r="F547" t="n" s="17">
        <v>0</v>
      </c>
      <c r="G547" t="n" s="17">
        <v>0</v>
      </c>
      <c r="H547" t="n" s="17">
        <v>0</v>
      </c>
      <c r="I547" t="n" s="18">
        <v>0</v>
      </c>
      <c r="J547" t="n" s="17">
        <v>0</v>
      </c>
      <c r="K547" t="n" s="19">
        <v>0</v>
      </c>
    </row>
    <row r="548" hidden="0" ht="15" customHeight="1" spans="1:1">
      <c r="A548" t="str" s="16">
        <f>HYPERLINK("https://amazon.com/dp/B09FSTVWFF", "B09FSTVWFF")</f>
      </c>
      <c r="B548" t="s">
        <v>560</v>
      </c>
      <c r="C548" t="s">
        <v>16</v>
      </c>
      <c r="D548" t="n" s="17">
        <v>0</v>
      </c>
      <c r="E548" t="n" s="17">
        <v>0</v>
      </c>
      <c r="F548" t="n" s="17">
        <v>0</v>
      </c>
      <c r="G548" t="n" s="17">
        <v>0</v>
      </c>
      <c r="H548" t="n" s="17">
        <v>0</v>
      </c>
      <c r="I548" t="n" s="18">
        <v>0</v>
      </c>
      <c r="J548" t="n" s="17">
        <v>0</v>
      </c>
      <c r="K548" t="n" s="19">
        <v>0</v>
      </c>
    </row>
    <row r="549" hidden="0" ht="15" customHeight="1" spans="1:1">
      <c r="A549" t="str" s="16">
        <f>HYPERLINK("https://amazon.com/dp/B0DNMLCGLJ", "B0DNMLCGLJ")</f>
      </c>
      <c r="B549" t="s">
        <v>561</v>
      </c>
      <c r="C549" t="s">
        <v>16</v>
      </c>
      <c r="D549" t="n" s="17">
        <v>0</v>
      </c>
      <c r="E549" t="n" s="17">
        <v>123</v>
      </c>
      <c r="F549" t="n" s="17">
        <v>0</v>
      </c>
      <c r="G549" t="n" s="17">
        <v>0</v>
      </c>
      <c r="H549" t="n" s="17">
        <v>0</v>
      </c>
      <c r="I549" t="n" s="18">
        <v>0</v>
      </c>
      <c r="J549" t="n" s="17">
        <v>0</v>
      </c>
      <c r="K549" t="n" s="19">
        <v>0</v>
      </c>
    </row>
    <row r="550" hidden="0" ht="15" customHeight="1" spans="1:1">
      <c r="A550" t="str" s="16">
        <f>HYPERLINK("https://amazon.com/dp/B0F1R6P8KW", "B0F1R6P8KW")</f>
      </c>
      <c r="B550" t="s">
        <v>562</v>
      </c>
      <c r="C550" t="s">
        <v>13</v>
      </c>
      <c r="D550" t="n" s="17">
        <v>0</v>
      </c>
      <c r="E550" t="n" s="17">
        <v>35</v>
      </c>
      <c r="F550" t="n" s="17">
        <v>0</v>
      </c>
      <c r="G550" t="n" s="17">
        <v>0</v>
      </c>
      <c r="H550" t="n" s="17">
        <v>0</v>
      </c>
      <c r="I550" t="n" s="18">
        <v>0.047599999999999996</v>
      </c>
      <c r="J550" t="n" s="17">
        <v>2</v>
      </c>
      <c r="K550" t="n" s="19">
        <v>4695.18</v>
      </c>
    </row>
    <row r="551" hidden="0" ht="15" customHeight="1" spans="1:1">
      <c r="A551" t="str" s="16">
        <f>HYPERLINK("https://amazon.com/dp/B0CFLMCC1Q", "B0CFLMCC1Q")</f>
      </c>
      <c r="B551" t="s">
        <v>563</v>
      </c>
      <c r="C551" t="s">
        <v>13</v>
      </c>
      <c r="D551" t="n" s="17">
        <v>0</v>
      </c>
      <c r="E551" t="n" s="17">
        <v>0</v>
      </c>
      <c r="F551" t="n" s="17">
        <v>0</v>
      </c>
      <c r="G551" t="n" s="17">
        <v>0</v>
      </c>
      <c r="H551" t="n" s="17">
        <v>0</v>
      </c>
      <c r="I551" t="n" s="18">
        <v>0</v>
      </c>
      <c r="J551" t="n" s="17">
        <v>0</v>
      </c>
      <c r="K551" t="n" s="19">
        <v>0</v>
      </c>
    </row>
  </sheetData>
  <pageMargins bottom="0.75" footer="0.3" header="0.3" left="0.7" right="0.7" top="0.75"/>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Amazon Seller Central - Custom Analytics</dc:creator>
  <dc:title>Workbook</dc:title>
  <dcterms:created xsi:type="dcterms:W3CDTF">2026-08-04T08:22:43.932Z</dcterms:created>
  <dcterms:modified xsi:type="dcterms:W3CDTF">2026-08-04T08:22:43.932Z</dcterms:modified>
</cp:coreProperties>
</file>