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metric-data" sheetId="1" r:id="rId1"/>
  </sheets>
</workbook>
</file>

<file path=xl/sharedStrings.xml><?xml version="1.0" encoding="utf-8"?>
<sst xmlns="http://schemas.openxmlformats.org/spreadsheetml/2006/main" count="286" uniqueCount="286">
  <si>
    <t>ASIN</t>
  </si>
  <si>
    <t>Item name</t>
  </si>
  <si>
    <t>Dispatched Revenue (TRY)</t>
  </si>
  <si>
    <t>Dispatched Units</t>
  </si>
  <si>
    <t>Customer Returns Quantity</t>
  </si>
  <si>
    <t>Vendor Returns Amount (TRY)</t>
  </si>
  <si>
    <t>Total</t>
  </si>
  <si>
    <t>TP-Link Deco X50(2-pack), AX3000 Tüm Ev Mesh WiFi 6 Sistemi</t>
  </si>
  <si>
    <t>TP-Link Deco E4 3-Pack , AC1200 Mbps, Dual-Band, 10/100Mbps Portları, 100 Cihaza Kadar Bağlanılabilirlik, 370 m²'ye Kadar Kapsama, Mobil Uygulama ile Kolay Kurulum, Wi-Fi 5 Mesh Sistemi</t>
  </si>
  <si>
    <t>TP-Link Deco BE65 3-pack, BE9300 Mbps, 4 × 2.5 Gbps Portlar, 320 MHz Kanallar, 6 GHz Bandında Çalışır, 200 Cihaza Kadar Bağlanılabilirlik, VPN, WPA3, Üç Bantlı Wi-Fi 7 Mesh Sistemi</t>
  </si>
  <si>
    <t>TP-Link Archer VX1800v, AX1800 Mbps Çift Bantlı Fiber Destekli Wi-Fi 6 VDSL/ADSL Modem Router, 4 Gigabit LAN Portları + 1 USB 2.0 Port, MU-MIMO, Super VDSL, Tether Uygulaması ile Kolay Kurulum</t>
  </si>
  <si>
    <t>TP-Link Deco BE65 2-pack, BE9300 Mbps, 4 × 2.5 Gbps Portlar, 320 MHz Kanallar, 6 GHz Bandında Çalışır, 200 Cihaza Kadar Bağlanılabilirlik, VPN, WPA3, Üç Bantlı Wi-Fi 7 Mesh Sistemi</t>
  </si>
  <si>
    <t>TP-Link Deco X50(3-pack), AX3000 Tüm Ev Mesh WiFi 6 Sistemi</t>
  </si>
  <si>
    <t>Tapo C230, 3K 5MP, Yapay Zeka Desteği, Hareket Takibi, 360°, 12m Gece Görüşü, Çift Yönlü Sesli İletişim, Bulut/Yerel Depolama, Bebek Ağlaması Tespiti,İç Mekan Wi-Fi Güvenlik Kamerası</t>
  </si>
  <si>
    <t>Tapo C220, 2K 4MP, Yapay Zeka Desteği, Hareket Tespit ve Takibi, 360°, 9m Gece Görüşü, Çift Yönlü Sesli İletişim, Bulut/Yerel Depolama, Bebek Ağlaması Tespiti,İç Mekan Wi-Fi Güvenlik Kamerası</t>
  </si>
  <si>
    <t>Tapo C225, 2K QHD Wi-Fi Güvenlik Kamerası, Yapay Zeka Desteği, Hareket Tespit ve Takibi, 360°, Renkli Gece Görüşü, Çift Yönlü Sesli İletişim, Bulut/Yerel Depolama, Bebek Ağlaması Tespiti</t>
  </si>
  <si>
    <t>TP-Link Deco BE25 3-pack, BE3600 Mbps, 2× 2.5 Gbps Portlar, AI Destekli Çoklu İşlem Kabiliyeti, 150 Cihaza Kadar Bağlanılabilirlik, VPN, WPA3, Dual-Band Wi-Fi 7 Mesh Sistemi</t>
  </si>
  <si>
    <t>TP-Link Deco M4 3-pack , AC1200 Mbps, Dual-Band, Gigabit Portları, 100 Cihaza Kadar Bağlanılabilirlik, 370 m²'ye Kadar Kapsama, Mobil Uygulama ile Kolay Kurulum, Wi-Fi 5 Mesh Sistemi</t>
  </si>
  <si>
    <t>Tapo C200, 1080P Full HD, Hareket Tespit ve Takibi, 360°, 9m Gece Görüşü, Çift Yönlü Sesli İletişim, Sesli Alarm, Bulut/Yerel Depolama, Bebek Ağlaması Tespiti, İç Mekan Wi-Fi Güvenlik Kamerası</t>
  </si>
  <si>
    <t>TP-Link Archer AX55, AX3000 Mbps Dual Band Wi-Fi 6 Router, Fiber Destekli, 4× Gigabit LAN Ports, WPA3, 1× USB 3.0 Port, Oyun için İdeal Xbox/PS4/8K Steam</t>
  </si>
  <si>
    <t>Tapo C410 KIT, 2K 3MP, Renkli Gece Görüşü, Şarj Edilebilir, IP65 Sertifikalı, Yerel/Bulut Depolama, 110° Açılı, Güneş Paneli Dahil, Kablosuz Bataryalı Güvenlik Kamerası Kiti</t>
  </si>
  <si>
    <t>TP-Link Deco M4 2-pack, AC1200 Mbps, Dual-Band, Gigabit Portları, 100 Cihaza Kadar Bağlanılabilirlik, 260 m²'ye Kadar Kapsama, Mobil Uygulama ile Kolay Kurulum, Wi-Fi 5 Mesh Sistemi</t>
  </si>
  <si>
    <t>TP-Link Archer BE230, BE3600 Mbps, Fiber Destekli, 2× 2.5 Gbps WAN/LAN Port + 3× Gbps Port, VPN Destekli, HomeSheild, Easy Mesh Uyumlu, Dual-Band Wi-Fi 7 Router</t>
  </si>
  <si>
    <t>TP-Link Deco BE25 2-pack, BE3600 Mbps, 2× 2.5 Gbps Portlar, AI Destekli Çoklu İşlem Kabiliyeti, 150 Cihaza Kadar Bağlanılabilirlik, VPN, WPA3, Dual-Band Wi-Fi 7 Mesh Sistemi</t>
  </si>
  <si>
    <t>TP-Link TL-PA7017P KIT, AV1000 Gigabit Passthrough Powerline Başlangıç Kiti</t>
  </si>
  <si>
    <t>Tapo C246D | 2K 3MP Çift Lensli Akıllı Güvenlik Kamerası | Pan/Tilt | İç ve Dış Mekan | IP65 | AI Hareket, Kişi ve Evcil Hayvan Algılama | Renkli Gece Görüşü | Çift Yönlü Ses</t>
  </si>
  <si>
    <t>Tp-Link RE700X AX3000 Mbps Onemesh Wi-Fi 6 Menzil Genişletici</t>
  </si>
  <si>
    <t>Tapo C530WS, 3K 5MP, Hareket Tespit/Takibi, 360°, IP66, Renkli Gece Görüşü, Çift Yönlü Ses, Bulut/Yerel Depolama, Sesli ve Işıklı Alarm, Dış Mekan Wi-Fi/Ethernet Güvenlik Kamerası</t>
  </si>
  <si>
    <t>Tapo C460 | 4K 8MP Bataryalı Dış Mekan Güvenlik Kamerası | 10000 mAh | Starlight Renkli Gece Görüşü | AI İnsan/Evcil Hayvan/Araç Algılama |IP66| Wi-Fi | microSD &amp; Bulut | Güneş Paneli Desteği</t>
  </si>
  <si>
    <t>TP-Link Archer VR300, AC1200 Mbps Kablosuz Dual-Band Fiber Destekli VDSL/ADSL Modem Router, 4 Ethernet Portu ve 4 Harici Anten, Tether Uygulaması ile Kolay Kurulum</t>
  </si>
  <si>
    <t>Tapo C460 KIT | 4K 8MP Güneş Enerjili Güvenlik Kamerası Kiti | 10000 mAh Batarya | Starlight Renkli Gece Görüşü | AI İnsan/Evcil Hayvan/Araç Algılama | IP66 | Wi-Fi | microSD &amp; Bulut</t>
  </si>
  <si>
    <t>TP-Link RE315 AC1200 Mbps Wi-Fi Güçlendirici - 2 Harici Anten, 1 Ethernet Bağlantı Noktası, Hotspot ve Access Point Modu, Tüm Yönlendiriciler ile Uyumlu, Wi-Fi 5 Menzil Genişletici</t>
  </si>
  <si>
    <t>TP-Link Archer AX12, AX1500 Wi-Fi 6 Gigabit Portlu Kablosuz Router, Fiber Destekli, 4 Gigabit LAN Portları, WPA3, Oyun için İdeal Xbox/PS4/Steam ve 4K</t>
  </si>
  <si>
    <t>Mercusys Halo H25BE(3-pack) | Wi-Fi 7 Mesh Sistemi | BE3600 Mbps Hız | Fiber Uyumlu | Dual-Band | 3x1G Port | 650 m² Kapsama | MLO | 320 MHz, 4K-QAM | 8K Yayın | Kolay Kurulum ve Kullanım</t>
  </si>
  <si>
    <t>Mercusys MC510 | 2K QHD Dış Mekan Güvenlik Kamerası | 360° Görüş | Renkli Gece Görüşü | Akıllı Takip | IP65 Hava Koşullarına Dayanıklı | microSD &amp; Bulut Depolama | SmartThings, Google Home, Alexa</t>
  </si>
  <si>
    <t>Tapo C510W, 2K Dış Mekan Wi-Fi Güvenlik Kamerası, Hareket Tespit/Takibi, 360°, IP65 Su Geçirmez, Renkli Gece Görüşü, Çift Yönlü Ses, Bulut/Yerel Depolama, Sesli ve Işıklı Alarm</t>
  </si>
  <si>
    <t>Tapo P100, Akıllı Mini Wi-Fi Soketi, Amazon Alexa ve Google Home ile Çalışır, Uzaktan Kontrol, Cihaz Paylaşımı, Hub Gerekmez, 1-pack</t>
  </si>
  <si>
    <t>TP-Link Deco BE25 1-pack, BE3600 Mbps, 2× 2.5 Gbps Portlar, AI Destekli Çoklu İşlem Kabiliyeti, 150 Cihaza Kadar Bağlanılabilirlik, VPN, WPA3, Dual-Band Wi-Fi 7 Mesh Sistemi</t>
  </si>
  <si>
    <t>TP-Link Archer BE400 | Dual-Band Wi-Fi 7 Router | Fiber Destekli | BE6500 Mbps | 1× 2.5 Gbps WAN + 1× 2.5 Gbps LAN + 3× 1 Gbps Port | 5GHz | VPN Destekli | EasyMesh Uyumlu | HomeShield</t>
  </si>
  <si>
    <t>TP-Link Deco E4 (2-Pack), AC1200 Mbps Tüm Ev Mesh Wi-Fi Sistemi, Dual-Band, 10/100Mbps Portları, 100 Cihaza Kadar Bağlanılabilirlik, 260 m²'ye Kadar Kapsama, Mobil Uygulama</t>
  </si>
  <si>
    <t>TP-Link Deco BE85 1-pack, BE19000 Mbps, 1x 10Gbps LAN/WAN Portu, 320 MHz Kanallar, 6 GHz Bandında Çalışır, 200 Cihaza Kadar Bağlanılabilirlik, VPN, WPA3, Üç Bantlı Wi-Fi 7 Mesh Sistemi</t>
  </si>
  <si>
    <t>TP-Link TL-WPA4220KIT 300Mbps AV600 Wi-Fi Powerline Extender Başlangıç Kiti, Kablosuz Menzil Genişletici</t>
  </si>
  <si>
    <t>TP-Link Deco M4 1-pack, AC1200 Mbps, Dual-Band, Gigabit Portları, 100 Cihaza Kadar Bağlanılabilirlik, Mobil Uygulama ile Kolay Kurulum, Wi-Fi 5 Mesh Sistemi</t>
  </si>
  <si>
    <t>TP-Link TL-MR100, N300 Mbps Kablosuz 4G LTE Router, 4G/3G SIM Yuvası, 32 Cihaza Kadar Bağlantı, Yapılandırma Gerektirmez, Konuk Ağı ve Ebeveyn Kontrolü Desteği</t>
  </si>
  <si>
    <t>TP-Link TL-SX1008, 8-Port 10G Desktop/Rackmount Switch</t>
  </si>
  <si>
    <t>TP-Link Archer MR600, 4G+ Cat6 AC1200 Mbps Wireless Dual-Band Gigabit Router, 4G/3G SIM Yuvası, MU-MIMO Teknolojisi, Yapılandırma Gerektirmez, Konuk Ağı ve Ebeveyn Kontrolü Desteği</t>
  </si>
  <si>
    <t>Tapo C425, 2K 4MP QHD, AI Desteği, Renkli Gece Görüşü, 300 Gün Şarj Süresi, Su Geçirmez, Yerel/Bulut Depolama, 150° Geniş Açılı, Solar Panel Desteği, Kablosuz Bataryalı Güvenlik Kamerası</t>
  </si>
  <si>
    <t>Tapo C560WS | 4K 8MP Dış Mekan Wi-Fi 6 Güvenlik Kamerası | Yerel Yüz Tanıma | AI İnsan/Evcil Hayvan/Araç Algılama | Starlight Renkli Gece Görüşü | IP66 Su Geçirmez | microSD &amp; Bulut Depolama</t>
  </si>
  <si>
    <t>TP-Link Archer TX55E, AX3000 Wi-Fi 6 Bluetooth 5.2 PCIe Ağ Kartı, İki Anten, Özel Soğutucu, 1024-QAM, Ultra Düşük Gecikme, Intel Wi-Fi 6 Yonga Seti, Windows 10/11'i Destekler</t>
  </si>
  <si>
    <t>TP-Link TL-WA850RE 300 Mbps Wifi Güçlendirici</t>
  </si>
  <si>
    <t>TP-Link Deco X50-Outdoor 1-Pack, AX3000 Mbps, IP65 Toza ve Suya Dayanıklılık, Dual-Band, Gigabit Bağlantı Noktaları, 230 m² 'ye Kadar Kapsama, HomeSheild, Dış Mekan/İç Mekan WiFi 6 Mesh Ünitesi</t>
  </si>
  <si>
    <t>TP-Link Archer TX50UH, AX3000Mbps USB Adaptörü, Wi-Fi 6, USB 3.0, Çift Bantlı, WPA3, Beamforming, MU-MIMO</t>
  </si>
  <si>
    <t>TP-Link TL-WPA7617 KIT, AV1000 Gigabit Passthrough Powerline ac Wi-Fi Kit</t>
  </si>
  <si>
    <t>TP-Link UH6120C, 1 HDMI, 1 100W Hızlı Şarj Portu, 1 USB-C, 2 USB-A 3.0 Port ve Type C den Gigabit Ethernet Dönüştürücü</t>
  </si>
  <si>
    <t>Tapo C250 | 4K 8MP Ultra HD Akıllı Wi-Fi Kamera | 360° | AI Otomatik Zoom ve Takip | Bebek Ağlaması Algılama | Sesli ve Işıklı Alarm | İki Yönlü Ses | Gece Görüşü | Bulut/SD Kart Depolama</t>
  </si>
  <si>
    <t>TP-Link Deco PX50 2-Pack, AX3000 + G1500, 1 GHz CPU, Powerline/Mesh, Yapay Zeka Desteği, Gigabit Portları, 150 Cihaza Kadar Bağlantı, 420 m² 'ye Kadar Kapsama, Powerline Mesh WiFi 6 Sistemi</t>
  </si>
  <si>
    <t>TP-Link UB500, Bluetooth 5.4, (PC dizüstü bilgisayar masaüstü bilgisayar için, Windows 10/8.1/8/7 Plug &amp; Play destekler), Nano USB Bluetooth Adaptör</t>
  </si>
  <si>
    <t>Tapo C410, 2K 3MP, Renkli Gece Görüşü, Şarj Edilebilir, Solar Panel Destekli, IP65, Yerel/Bulut Depolama, 125° Açılı, Işıklı ve Sesli Alarm, Kablosuz Bataryalı Güvenlik Kamerası</t>
  </si>
  <si>
    <t>TP-Link Archer TX20U Plus, AX1800 Mbps Çift Antenli Yüksek Kazanımlı Kablosuz USB Adaptör, 1 metre USB 3.0 kablosu, Beamforming, MU-MIMO, Düşük Gecikmeli Oyun Deneyimi, WPA3, Kolay Kurulum</t>
  </si>
  <si>
    <t>Tapo C545D | 2K Çift Lensli Dış Mekan Güvenlik Kamerası | 165° Geniş Açı + Telefoto Lens | IP66 | AI Takip | Renkli Gece Görüşü | Ethernet Bağlantı | İki Yönlü Ses | Yerel &amp; Bulut Depolama</t>
  </si>
  <si>
    <t>TP-Link TL-SG1016PE, 16-Port Gigabit Easy Smart Switch with 8-Port PoE+</t>
  </si>
  <si>
    <t>TP-Link UA430C; USB 3.0 Type-C ile SD &amp; microSD 3.0 Kart Okuyucu</t>
  </si>
  <si>
    <t>TP-Link AV1000 Gigabit Powerline ac Wi-Fi Kit, TL-WPA7517 KIT, Gigabit Ethernet, 750 Mbps</t>
  </si>
  <si>
    <t>TP-Link Archer MR400, AC1200 Wireless Dual Band 4G LTE Router, 4G/3G SIM Yuvası, 64 Cihaza Kadar Bağlantı, Yapılandırma Gerektirmez, Konuk Ağı ve Ebeveyn Kontrolü Desteği</t>
  </si>
  <si>
    <t>TP-Link Tapo C645D KIT Güneş Enerjili Çift Lensli Pan/Tilt Güvenlik Kamerası, 2K Çözünürlük, İnsan/Araç/Evcil Hayvan Algılama, 360° Görüş, Akıllı Takip</t>
  </si>
  <si>
    <t>TP-Link M7350, 150Mbps ye kadar İnternet Hızı, 10 Cihaza Kadar Bağlantı, 2000 mAh Batarya, Kurulum Gerektirmez, Mobil Uygulama Desteği, 4G Taşınabilir Mobil LTE Modem</t>
  </si>
  <si>
    <t>Tp-link RE305, AC1200 Wi-Fi Range Extender</t>
  </si>
  <si>
    <t>TP-Link TL-SG116P, 16-Port Gigabit Desktop Switch with 16-Port PoE+</t>
  </si>
  <si>
    <t>TP-Link Archer TX20E, AX1800 Wi-Fi 6 Bluetooth 5.2 PCIe Ağ Kartı</t>
  </si>
  <si>
    <t>TP-Link UE300C, USB Type-C to RJ45 Gigabit Ethernet Network Adapter</t>
  </si>
  <si>
    <t>TP-Link Archer AX73, AX5400 Çift Bant Gigabit Wi-Fi 6 Router, Fiber Destekli, 4×Gbps LAN Portlarıları, 200'den Fazla Cihazı Bağlayın,OFDMA ve MU-MIMO Destekli, Oyun için İdeal Xbox/PS4/4K-8K Yayın</t>
  </si>
  <si>
    <t>TP-Link UH400, 5Gbps Transfer Hızlı Tak ve kullan 4-Port USB 3.0 Hub</t>
  </si>
  <si>
    <t>TP-Link TL-WA855RE, N300 Mbps Wi-Fi Menzil Genişletici, 2 Harici Anten ve 1 Ethernet Bağlantı Noktalı Wi-Fi Güçlendirici/Hotspot, Access Point Modu, Tüm Wi-Fi Yönlendiriciler ile Çalışır</t>
  </si>
  <si>
    <t>Kablosuz Wifi Alıcı AC1300 Mbps Dual Band USB 3.0 Adaptör</t>
  </si>
  <si>
    <t>Tapo C425 KIT, 2K 4MP QHD, AI Desteği, Renkli Gece Görüşü, Şarj Edilebilir, Su Geçirmez, Yerel/Bulut Depolama, 150° Geniş Açılı, Güneş Paneli Dahil, Kablosuz Bataryalı Güvenlik Kamerası Kiti</t>
  </si>
  <si>
    <t>TP-Link TL-SG108E, 8-Port Gigabit Easy Smart Switch</t>
  </si>
  <si>
    <t>TP-Link TL-SG105, 5-Port 10/100/1000Mbps Gigabit Siwtch</t>
  </si>
  <si>
    <t>TP-Link TL-SG108-M2, 8-Port 2.5G Desktop Switch</t>
  </si>
  <si>
    <t>TP-Link TL-WPA7817 KIT, AV1000&amp;AX1500 Mbps, 1× Gigabit Portlu, 4K Video ve Online Oyunlarda Yüksek Performans, EasyMesh Destekli, Tak ve Çalıştır, Powerline Adaptör Kiti</t>
  </si>
  <si>
    <t>Tapo C260 | Akıllı Wi-Fi Güvenlik Kamerası | 4K 8MP | Yüz Tanıma | AI Algılama | Gelişmiş Gece Görüşü | Fiziksel Gizlilik | 360° Görüntüleme | Çift Yönlü Ses | microSD &amp; Bulut Destekli</t>
  </si>
  <si>
    <t>TP-Link UH5020C | USB-C 5-in-1 Hub | 4K@60Hz HDMI | 100W Hızlı Şarj | 2× USB-A Port | 1× USB-C Port | Tak &amp; Çalıştır | Windows | Mac | Linux &amp; Mobile Uyumlu</t>
  </si>
  <si>
    <t>TP-Link UE300, USB 3.0 RJ45 Gigabit Ethernet Network Çevirici</t>
  </si>
  <si>
    <t>TP-Link RE200 Dual Band 750 Mbps Wifi Güçlendirici</t>
  </si>
  <si>
    <t>Tapo C400 | 1080p 2MP Dış Mekan Güvenlik Kamerası | 180 Gün Pil Ömrü | Kişi Algılama | Renkli Gece Görüşü | IP65 | microSD &amp; Bulut Depolama | 10000mAh Batarya</t>
  </si>
  <si>
    <t>TP-Link UE306, USB 3.0 - Gigabit Ethernet Ağ Adaptörü</t>
  </si>
  <si>
    <t>TP-Link LS1005G Ethernet Çevirici 5 Port 10/100/1000 Mbps</t>
  </si>
  <si>
    <t>Mercusys MA32H, AC1300 Mbps, Çift Bant, USB 3.0, Yüksek Çekim Güçlü Wi-Fi 5 USB Adaptör</t>
  </si>
  <si>
    <t>Tapo TP-Link T300, Akıllı Su Sızıntı Algılama Sensörü, IP67 Su Geçirmez, Anlık Uygulama Bildirimi, 90dB'ye Kadar Alarm, Damlama ve Sızıntı Uyarısı</t>
  </si>
  <si>
    <t>TP-Link TL-PA4010PKIT, AV600 AC Güç Soketli Powerline Adaptör Başlangıç Kiti</t>
  </si>
  <si>
    <t>TP-Link LS105GP | 5-Port Gigabit PoE+ Switch | 65W PoE Bütçesi, 250m İletim, Tak ve Çalıştır | Fansız, Sessiz Metal Kasa | IP Kamera &amp; AP Uyumlu Ağ Anahtarı</t>
  </si>
  <si>
    <t>TP-Link Archer TBE400UH - Wi-Fi 7 Yüksek Çekim Güçlü Wi-Fi USB Adaptör, BE6500 Mbps, Tri-Band, USB 3.0, Çoklu Bağlantı İşlemi, Geniş Menzil, Online Oyun İçin İdeal, MU-MIMO ve OFDMA Destekli</t>
  </si>
  <si>
    <t>TP-Link Festa F65, AX3000Mbps, 1 Gigabit Port, Festa Mesh, Kesintisiz Dolaşım, MU-MIMO, 250 Cihaza Kadar Bağanlantı, Ücretsiz Bulut Yönetimi, PoE+ Destekli, Dual-Band Wi-Fi 6 Tavan Tipi Access Point</t>
  </si>
  <si>
    <t>TP-Link Deco BE65 1-pack, BE9300 Mbps, 4 × 2.5 Gbps Portlar, 320 MHz Kanallar, 6 GHz Bandında Çalışır, 200 Cihaza Kadar Bağlanılabilirlik, VPN, WPA3, Üç Bantlı Wi-Fi 7 Mesh Sistemi</t>
  </si>
  <si>
    <t>TL-PA8033P KIT, AV1300 3-Port Gigabit Passthrough Powerline Starter Kit</t>
  </si>
  <si>
    <t>TP-Link TL-PA4010KIT, AV600 Nano Powerline Adaptör Başlangıç Kiti</t>
  </si>
  <si>
    <t>TP-Link Deco PX50 3-Pack, AX3000 + G1500, 1 GHz CPU, Powerline/Mesh, Yapay Zeka Desteği, Gigabit Portları, 150 Cihaza Kadar Bağlantı, 600 m² 'ye Kadar Kapsama, Powerline Mesh WiFi 6 Sistemi</t>
  </si>
  <si>
    <t>TP-Link UB500 Plus, Ayarlanabilir Harici Antenli, Yüksek Çekim Güçlü Bluetooth 5.4 USB Adaptör</t>
  </si>
  <si>
    <t>TP-Link Deco X10 1-pack, AX1500 Mbps, 190 m²'ye kadar Kapsama Alanı, 120 Cihaza Kadar Bağlantı, Gigabit Portlu, Mobil Uygulama ile Kolay Kurulum,Yapay Zeka Destekli Wi-Fi 6 Mesh Sistemi</t>
  </si>
  <si>
    <t>TP-Link Archer T2U Plus, AC 600 Mbps Antenli Wireless USB Adaptör</t>
  </si>
  <si>
    <t>TP-Link TL-WR902AC, AC750 Mbps Wireless Travel Router</t>
  </si>
  <si>
    <t>TP-Link ER707-M2, Omada Multi-Gigabit VPN Router</t>
  </si>
  <si>
    <t>TP-Link Tapo C216 | İç ve Dış Mekan Wi-Fi Güvenlik Kamerası | 2K 3MP Netlik | 360° Pan/Tilt Hareketli | Renkli Gece Görüşü | AI Bebek Ağlaması ve Kişi Algılama | Akıllı Takip | Bulut/SD Kart Depolama</t>
  </si>
  <si>
    <t>TP-Link LS105G, 5-Port 10/100/1000 Mbps Gigabit Ethernet Switch, 5 Bağlantılı Harici Güç Adaptörü</t>
  </si>
  <si>
    <t>Tp-link CPE210, 300Mbps 9dBi Dış Mekan CPE</t>
  </si>
  <si>
    <t>TP-Link Archer TX10UB Nano | Wi-Fi 6 &amp; Bluetooth 5.3 USB Adaptör | AX900 Mbps | Çift Bant | İkisi Bir Arada | Kolay Kurulum | Windows Uyumlu</t>
  </si>
  <si>
    <t>TP-Link Archer MR200, AC750 Mbps Kablosuz Dual Band 3G/4G LTE Router, Çift Bantlı</t>
  </si>
  <si>
    <t>TP-Link TL-SG116E, 16-Port Gigabit Unmanaged Pro Switch</t>
  </si>
  <si>
    <t>TP-Link Archer TBE400E | BE6500 Wi-Fi 7 PCIe Adaptör | Bluetooth 5.4 | Üç Bant 2882 + 2882 + 688 Mbps | Çift Anten | WPA3 Güvenlik | OFDMA &amp; MU-MIMO | Windows 11 64-bit Uyumluluk</t>
  </si>
  <si>
    <t>TP-Link TL-SX105, 5-Port 10G Desktop Switch</t>
  </si>
  <si>
    <t>TP-Link Deco E4 1-Pack , AC1200 Mbps, Dual-Band, 10/100Mbps Portları, 100 Cihaza Kadar Bağlanılabilirlik, Mobil Uygulama ile Kolay Kurulum, Wi-Fi 5 Mesh Sistemi</t>
  </si>
  <si>
    <t>Mercusys MT110, 4G Taşınabilir Mobil Modem, 150Mbps ye kadar İnternet Hızı, 10 Cihaza Kadar Bağlantı, 2200 mAh Batarya, Kurulum Gerektirmez, Mobil Uygulama Desteği</t>
  </si>
  <si>
    <t>TP-Link Deco X10 2-pack, AX1500 Mbps, 360 m²'ye kadar Kapsama Alanı, 120 Cihaza Kadar Bağlantı, Gigabit Portlu, Mobil Uygulama ile Kolay Kurulum,Yapay Zeka Destekli Wi-Fi 6 Mesh Sistemi</t>
  </si>
  <si>
    <t>TP-Link Archer TX20U Nano, AX1800 Mbps, Çift Bant, MU-MIMO, USB 2.0, WPA3, Windows 10/11 Uyumlu, Wi-Fi 6 Nano USB Adaptör</t>
  </si>
  <si>
    <t>TP-Link WiFi Stick 6 güçlü AX1800Mbps, Archer TX20U, WLAN USB adaptörü, WLAN dongle, USB 3.0 Dual-Band, 2.4G/5GHz, MU-MIMO, WPA3, Windows 11/10 ile uyumlu</t>
  </si>
  <si>
    <t>TP-Link Archer BE220, BE3600 Mbps, Fiber Destekli, 4× Gbps Port, VPN Destekli, HomeSheild, Easy Mesh Uyumlu, Dual-Band Wi-Fi 7 Router</t>
  </si>
  <si>
    <t>Mercusys MA530, Bluetooth 5.3, Nano USB Adaptör</t>
  </si>
  <si>
    <t>Tapo C310, 2K 3MP Dış Mekan Wi-Fi/Ethernet Güvenlik Kamerası, Hareket Algılama, IP66 Su Geçirmez, 30m Gece Görüşü, Çift Yönlü Ses, Bulut/Yerel Depolama, Sesli ve Işıklı Alarm</t>
  </si>
  <si>
    <t>TP-Link Archer TX50E, AX3000 Mbps Wi-Fi 6 Bluetooth 5.0 PCIe Ağ Kartı, İki Anten, 1024-QAM,OFDMA ve 160 MHz Bant Genişliği, Ultra Düşük Gecikme, Intel Wi-Fi 6 Yonga Seti, Windows 10/11'i Destekler</t>
  </si>
  <si>
    <t>TP-Link ER706W-4G, Omada 4G+ Cat6 AX3000 Gigabit VPN Router</t>
  </si>
  <si>
    <t>TP-Link EH210 Gigabit Ethernet Splitter 1 to 2, RJ45 LAN Çoğaltıcı 1000 Mbps, USB-C Güçlü, Dual Port Ethernet Bölücü, Tak Çalıştır Network Splitter</t>
  </si>
  <si>
    <t>TP-Link Deco X50-PoE 2-pack, AX3000 Mbps, PoE Destekli, Dual-Band, 2,5Gbps Ethernet Portu, 150 Cihaza Kadar Bağlantı, 420 m² 'ye Kadar Kapsama, Mobil Uygulama ile Kolay Kurulum, Wi-Fi 6 Mesh Sistemi</t>
  </si>
  <si>
    <t>Mercusys MB110-4G, 300 Mbps Kablosuz N 4G LTE Router</t>
  </si>
  <si>
    <t>TP-Link UH9120C, 4K 60Hz HDMI, Gigabit RJ45 Port, 100W Hızlı Şarj, SD ve MicroSD Kart Yuvası, 5Gbps Data Transfer Hızı, 9'u Bir Arada USB-C Hub</t>
  </si>
  <si>
    <t>Mercusys Halo H60X 3-pack, AX1500Mbps, Dual-Band, Gigabit Portları, 100'e Kadar Cihaz Bağlanabilir, 550 m²'ye Kadar Kapsama, Akıllı Bağlantı, Mobil Uygulama ile Kolay Kurulum, Wi-Fi 6 Mesh Sistemi</t>
  </si>
  <si>
    <t>TP-Link LS1016G; 16-Port Gigabit Portlu, Metal Kasalı, QoS Özellikli, Kurulum Gerektirmeyen Tak ve Çalıştır Özellikli Switch</t>
  </si>
  <si>
    <t>TP-Link TD-W9970, 300Mbps Fiber Modem/Router,EWAN, VPN, Ebeveyn Kontrolü, VDSL, ADSL2+, USB port</t>
  </si>
  <si>
    <t>TP-Link TL-SG105PE, 5-Port Gigabit Easy Smart Switch with 4-Port PoE+</t>
  </si>
  <si>
    <t>TP-Link Deco X10 3-pack , AX1500 Mbps, 520 m²'ye kadar Kapsama Alanı, 120 Cihaza Kadar Bağlantı, Gigabit Portlu, Mobil Uygulama ile Kolay Kurulum,Yapay Zeka Destekli Wi-Fi 6 Mesh Sistemi</t>
  </si>
  <si>
    <t>TP-Link UA520C, USB Type-C den 4K@60Hz HDMI Dönüştürücü</t>
  </si>
  <si>
    <t>Mercusys MT115 | 4G LTE Mobil Wi-Fi 6 Taşınabilir Modem | 150 Mbps 4G Hızı | 2400 mAh Pil ile 10 Saat Kullanım | Bilgi Ekranlı | 10 Cihaz Desteği | SIM Girişli Cep Wi-Fi | Mercusys App Kontrol</t>
  </si>
  <si>
    <t>TP-Link UE302C, USB Type-C den 2.5 Gigabit Ethernet Adaptörü</t>
  </si>
  <si>
    <t>TP-Link M7000, 4G LTE Mobil Wi-Fi Router</t>
  </si>
  <si>
    <t>Mercusys ME80X, AX3000 Mbps, 1 Gigabit Bağlantı Noktası ve 2 Harici Anten, Dahili Access Point Modu, Tek Tuşla Kolay Kurulum, Mobil Uygulama Desteği, Dual-Band Wi-Fi 6 Menzil Genişletici</t>
  </si>
  <si>
    <t>TP-Link TL-SG105E, 5-Portlu Gigabit Easy Smart Switch</t>
  </si>
  <si>
    <t>TP-Link TL-WR1502X, AX1500Mbps, 1 Gigabit WAN ve 1 Giabit Lan Port, Power Bank ile Çalışabilen All-in-One(Router, 3G/4G USB Modem, Hotspot, Acess Point, Menzil Genişletici) Taşınabilir Wi-Fi 6 Router</t>
  </si>
  <si>
    <t>TP-Link CPE610, 5GHz 300Mbps 23dBi Dış Mekan CPE</t>
  </si>
  <si>
    <t>TP-Link UH7020C, 4K 60Hz HDMI, Gigabit RJ45 Port, 100W Hızlı Şarj, SD ve MicroSD Kart Yuvası, 5Gbps Data Transfer Hızı, 7'si Bir Arada USB-C Hub</t>
  </si>
  <si>
    <t>TP-Link UH3020C, 4K 60Hz HDMI, 100W Hızlı Şarj, 1x Type-A, 3'ü Bir Arada USB-C Hub</t>
  </si>
  <si>
    <t>TP-Link Tapo C245D | 2K 3MP Çift Lensli Akıllı Güvenlik Kamerası | 360° | Geniş Açı ve Tele-Lens | Akıllı Hareket Takibi | AI Kişi ve Bebek Ağlaması Algılama | Çift Ekran İzleme|Bulut/SD Kart</t>
  </si>
  <si>
    <t>TP-Link TL-SG1005D, 5-Portlu Gigabit Masaüstü Switch</t>
  </si>
  <si>
    <t>Mercusys MC230 | 3K 5MP Ultra HD Akıllı Wi-Fi Güvenlik Kamerası | 360° | 13.5x Zoom | Yapay Zeka Kişi ve Evcil Hayvan Algılama | Bebek Ağlama Sesi Duyarlı | Gece Görüşlü | Bulut/SD Kart Depolama</t>
  </si>
  <si>
    <t>TP-Link Archer T2U, 600Mbps Kablosuz Dual Band USB Adaptör</t>
  </si>
  <si>
    <t>Tapo C222, 2K 4MP, Yapay Zeka Desteği, Hareket Takibi, 360°, 9m Gece Görüşü, Çift Yönlü Sesli İletişim, Bulut/Yerel Depolama, Bebek Ağlaması Tespiti,İç Mekan Wi-Fi/Ethernet Güvenlik Kamerası</t>
  </si>
  <si>
    <t>TP-Link CPE220, 2.4GHz 300Mbps 12dBi Antenli Dış Mekan CPE/Access Point</t>
  </si>
  <si>
    <t>TP-Link RE235BE | BE3600 Wi-Fi 7 Menzil Genişletici | 3.6 Gbps Çift Bant (2882 Mbps + 688 Mbps) | 2.5G Ethernet Port | MLO Desteği | EasyMesh Uyumlu | Akıllı Dolaşım | Kolay Kurulum</t>
  </si>
  <si>
    <t>TP-Link Archer TX35U Plus | AX1800 Wi-Fi 6 Kablosuz USB Adaptör | 1800 Mbps Hız | Çift Bant | Yüksek Çekim Güçlü Anten | USB 3.0 | WPA3 | Beamforming &amp; MU-MIMO | Masaüstü ve Laptop PC Alıcı</t>
  </si>
  <si>
    <t>TP-Link LS1024G | 24 Port Gigabit Switch | Masaüstü &amp; Rackmount | Tak ve Çalıştır | QoS Desteği | Enerji Verimli | Sessiz Fansız Tasarım | Metal Kasa | 10/100/1000 Mbps</t>
  </si>
  <si>
    <t>TP-Link TL-SG1016DE, 16-Port Gigabit Easy Smart Switch</t>
  </si>
  <si>
    <t>Tapo S210, Akıllı Işık Anahtarı, Uzaktan Kumanda, Aletsiz Pil Değiştirme, Nötr Gerekmez, Tüm ampullerle uyumlu, Alexa ve Google Home ile Çalışır, Tapo Hub Gereklidir Ayrıca Satılır</t>
  </si>
  <si>
    <t>TP-Link ER605; Omada Gigabit VPN Router</t>
  </si>
  <si>
    <t>Mercusys MS110CP | 10 Port PoE+ Switch | 8 Port PoE Kamera Switch | 2 Gigabit Uplink | 65W | 250m Extend | VLAN | Network Switch | Güvenlik Sistemi Uyumlu</t>
  </si>
  <si>
    <t>TP-Link M7750 | 600 Mbps LTE-Advanced Mobile WiFi | 4G Cat12 Modem | Çift Bant 867 Mbps + 300 Mbps | 32 Cihaz Desteği | 3280 mAh Batarya | 15 Saate Kadar Kullanım | MicroSD | tpMiFi Uygulaması</t>
  </si>
  <si>
    <t>TP-Link Archer T3U, AC1300 Mini Wireless MU-MIMO USB Adaptör</t>
  </si>
  <si>
    <t>TP-Link TX201, 2.5 Gigabit PCIe Ağ Adaptörü</t>
  </si>
  <si>
    <t>TP-Link Deco X50-PoE 1-pack, AX3000 Mbps, PoE Destekli, Dual-Band, 2,5Gbps Ethernet Portu, 150 Cihaza Kadar Bağlantı, 230 m² 'ye Kadar Kapsama, Mobil Uygulama ile Kolay Kurulum, Wi-Fi 6 Mesh Sistemi</t>
  </si>
  <si>
    <t>Mercusys Halo H47BE(2-Pack) | Wi-Fi 7 Mesh Sistemi | BE9300 Mbps Hız | Fiber Uyumlu | Üç Bant | 3x 2.5G Port | 6 GHz | MLO | WPA3 | 550 m² Kapsama | Windows &amp; Mobil Uyumlu</t>
  </si>
  <si>
    <t>TP-Link Tl-Wn725N, 150Mbps Kablosuz N Nano Usb Adaptör</t>
  </si>
  <si>
    <t>TP-Link TG-3468, 10/100/1000Mbps Gigabit PCI Express Network Adaptör</t>
  </si>
  <si>
    <t>Tapo S200B, Akıllı Buton, Özelleştirilmiş Eylemler, Akıllı Kontrol, Tek Tıklamayla Alarm Aktivasyonu, Uzun Ömürlü Pil, Tapo Hub Gereklidir Ayrıca Satılır</t>
  </si>
  <si>
    <t>Mercusys ME60X, AX1500 Çift Bantlı Wi-Fi 6 Menzil Genişletici, 1 Gigabit Bağlantı Noktası ve 2 Harici Anten ile Geniş Bant/Wi-Fi Güçlendirici/Hotspot, Access Point Modu</t>
  </si>
  <si>
    <t>TP-Link TL-PA7017 KIT, AV1000 Gigabit Powerline Başlangıç Kiti</t>
  </si>
  <si>
    <t>TP-Link Archer C50, AC1200 Mbps Kablosuz Dual-Band Router, MU-MIMO, Beamforming, All-in-one( Router, Access Point, Range Extender) Modları</t>
  </si>
  <si>
    <t>TP-Link LS1008G Ethernet Çevirici 8 Port, 10/100/1000 Mbps</t>
  </si>
  <si>
    <t>Mercusys MW305R, 300 Mbps Kablosuz N Yönlendirici</t>
  </si>
  <si>
    <t>TP-Link ER706W, Omada AX3000 Gigabit VPN Router</t>
  </si>
  <si>
    <t>TP-Link TL-WA1201, AC1200 Mbps Kablosuz Access Point, Pasif PoE'yi destekler, Erişim Noktasını, Menzil Genişleticiyi, Çoklu SSID'yi destekler, Artırılmış Kapsama Alanı</t>
  </si>
  <si>
    <t>TP-Link Archer TX20UH, AX1800 Yüksek Kazançlı Kablosuz USB Adaptör, 1,2 metre USB 3.0 kablosu, Beamforming Teknolojisi, MU-MIMO, Düşük Gecikmeli Oyun Deneyimi, WPA3, Kolay Kurulum</t>
  </si>
  <si>
    <t>TP-Link Festa F52, AC1350Mbps, 1 Gigabit Port, Festa Mesh, Kesintisiz Dolaşım, MU-MIMO, Ücretsiz Bulut Yönetimi, PoE ve Pasif PoE Destekli, Dual-Band Wi-Fi 5 Tavan Tipi Access Point</t>
  </si>
  <si>
    <t>TP-Link TL-WA3001; AX3000 Mbps, Gigabit Portlu, Pasif PoE'yi destekler, Erişim Noktasını, Menzil Genişleticiyi, Çoklu SSID'yi destekler, Artırılmış Kapsama Alanı, Dual-Band Wi-Fi 6 Access Point</t>
  </si>
  <si>
    <t>TP-Link Festa F65-Outdoor, AX3000Mbps, 1 Gigabit Port, Festa Mesh, Kesintisiz Dolaşım,IP67 Sertifikalı, Ücretsiz Bulut Yönetimi, 802.3at ve Pasif PoE Destekli, Dual-Band Wi-Fi 6 Dış Mekan Access Point</t>
  </si>
  <si>
    <t>TP-Link TL-ER7206, SafeStream Gigabit Multi-WAN VPN Router</t>
  </si>
  <si>
    <t>TP-Link TL-SG1016D, 16-Port Gigabit Masaüstü/Rackmount Switch</t>
  </si>
  <si>
    <t>Tp-link CPE510, 5GHz 13dBi Outdoor CPE</t>
  </si>
  <si>
    <t>TP-Link Deco BE25 Outdoor(1-pack) | Wi-Fi 7 Mesh Sistemi | BE3600 Mbps Hız | Çift Bant | 2x 2.5G Port | IP65 Su &amp; Toz Geçirmez | MLO | AI Dolaşım | PoE Destekli</t>
  </si>
  <si>
    <t>TP-Link TL-SM5310-T, 10G Base-T RJ45 SFP+ Module</t>
  </si>
  <si>
    <t>TP-Link RE300 | Wi-Fi 5 Menzil Genişletici | AC1200 Mbps | EasyMesh | Dual Band | Kolay Kurulum | Tüm Modem ve Router Modelleri ile Uyumludur</t>
  </si>
  <si>
    <t>TP-Link Archer Air R5, AX3000 Dual-Band Wi-Fi 6 Air Router&amp;Menzil Genişletici, Gigabit Port, Ultra İnce Tasarım, EasyMesh Destekli, Xbox/PS/Steam için İdeal, HomeShield, Esnek Kurulum Seçenekleri</t>
  </si>
  <si>
    <t>TP-Link UH7021C | USB-C 7’si 1 Arada Hub | 4K@60Hz HDMI, 100W PD, 3× USB 3.0, SD &amp; microSD UHS-I (200 MB/s), Tak-Çalıştır, Alüminyum Tasarım</t>
  </si>
  <si>
    <t>Mercusys MA30H, AC1300 Mbps, Çift Bant, USB 3.0, Yüksek Çekim Güçlü Wi-Fi 5 USB Adaptör</t>
  </si>
  <si>
    <t>Mercusys MR25BE; BE3600 Mbps, Fiber Destekli, 4× 10/100/1000Mbps Port, Easy Mesh Uyumlu, Dual-Band Wi-Fi 7 Router</t>
  </si>
  <si>
    <t>Mercusys Halo H37BE(2-pack) | Wi-Fi 7 Mesh Sistemi | BE6500 Mbps Hız | Fiber Uyumlu | Dual-Band | 2× 2.5G Port | 4K-QAM | MLO| 650 m² Kapsama | Mobil Uygulama ile Kolay Kurulum – Güçlü ve Hızlı Ev Ağı</t>
  </si>
  <si>
    <t>Mercusys MC210 | 2K 3MP Güvenlik Wi-Fi Kamerası | 360° Görüş | Gece Görüşü | Akıllı Hareket &amp; Kişi Algılama | Çift Yönlü Ses | microSD &amp; Bulut Depolama | SmartThings, Alexa, Google Assistant Uyumlu</t>
  </si>
  <si>
    <t>TP-Link MC200CM, Gigabit Multi-Mode Medya Dönüştürücü</t>
  </si>
  <si>
    <t>TP-Link TL-SG105-M2, 5-Port 2.5G Desktop Switch</t>
  </si>
  <si>
    <t>TP-Link TD-W9960, 300Mbps Wireless N VDSL/ADSL Modem Router</t>
  </si>
  <si>
    <t>TP-Link TAPO C110 WiFi Güvenlik Kamerası</t>
  </si>
  <si>
    <t>Tapo C500, 1080P Full HD Dış Mekan Wi-Fi Güvenlik Kamerası, Hareket Tespit/Takibi, 360°, IP65 Su Geçirmez, Gece Görüşü, Çift Yönlü Ses, Bulut/Yerel Depolama, Sesli ve Işıklı Alarm</t>
  </si>
  <si>
    <t>TP-Link Archer GE550 | Wi-Fi 7 Gaming Router | 9300 Mbps Hız | Üç Bant | 5G/2.5G Port | EasyMesh | MLO | RGB Aydınlatma | Oyun Hızlandırma | HomeShield</t>
  </si>
  <si>
    <t>TP-Link TL-SF1048, 48-Portlu 10/100Mbps Rackmount Switch</t>
  </si>
  <si>
    <t>TP-Link TL-SF1024D, 24-Portlu 10/100Mbps Desktop/Rackmount Switch</t>
  </si>
  <si>
    <t>Tapo C320WS, 2K 4MP Dış Mekan Wi-Fi/Ethernet Güvenlik Kamerası, Hareket Algılama, IP66 Su Geçirmez, 30m Starlight Gece Görüşü, Çift Yönlü Ses, Bulut/Yerel Depolama, Sesli ve Işıklı Alarm</t>
  </si>
  <si>
    <t>Mercusys MA30E, AC1200MBPS Ikisi Bir Arada Wi-Fi 5 &amp; Bluetooth 5.0 Pcıe Ağ Kartı</t>
  </si>
  <si>
    <t>TP-Link Tapo S200D, Uzaktan Kontrol Edilebilen Akıllı Işık Düğmesi, Gerçek Zamanlı Bildirimler, Kabloya Gerek Yok, Pil dahil, Kolay Kurulum ve Kullanım, Tapo Hub Gereklidir Ayrıca Satılır</t>
  </si>
  <si>
    <t>Tapo C465 | 4K 8MP Ultra HD Güneş Panelli Kablosuz Kamera | Dahili Solar Panel | 180 Gün Pil Ömrü | Hırsızlık Korumalı | Dual-Band Wi-Fi | AI Kişi/Araç Algılama | IP65 | Bulut/SD Kart Depolama</t>
  </si>
  <si>
    <t>TP-Link TL-WA801N, 300Mbps Wireless N Access Point</t>
  </si>
  <si>
    <t>Mercusys MR37BE Wi-Fi 7 Router | BE6500 Mbps Hız | Dual-Band | Fiber Destekli | 2× 2.5G Port, 2× Gigabit Port | 6 Anten | MLO | EasyMesh | Geniş Kapsama | Hızlı 4K/8K Streaming &amp; Oyun | Kolay Kurulum</t>
  </si>
  <si>
    <t>TP-Link Archer T3U, AC1300 Mbps, Çift Bant, USB 2.0, Nano Wi-Fi 5 USB Adaptör</t>
  </si>
  <si>
    <t>TP-Link LS105LP | 5-Port 10/100Mbps PoE Switch | 4-Port PoE, 41W Güç Bütçesi, 250m İletim | Tak ve Çalıştır, Sessiz Metal Kasa | IP Kamera ve AP Uyumlu</t>
  </si>
  <si>
    <t>Mercusys MA14H | AX300 Wi-Fi 6 Kablosuz USB Adaptör | Yüksek Kazançlı Anten | Dahili Sürücü Tak Çalıştır | Windows ve Linux Uyumlu | Güçlü Sinyal Alıcı | Masaüstü ve Laptop Wi-Fi Alıcı</t>
  </si>
  <si>
    <t>Tapo TP-Link L535E, Matter Wi-Fi LED Akıllı Ampul, Çok Renkli, E27,75W 806 Amazon Alexa ve Google Home ile Çalışır, Renk Değiştirilebilir, Hub Gerekmez</t>
  </si>
  <si>
    <t>TP-Link TL-SF1005D TP-LINK TL-SF1005D 5-Port 10/100Mbps Tak ve Kullan % 60 Enerji Tasarruflu Switch</t>
  </si>
  <si>
    <t>TP-Link Deco BE22 (3-Pack) | Wi-Fi 7 Mesh Sistemi | BE3600 Mbps | Fiber Uyumlu | Çift Bant | AI-Roaming | 2 Adet Gigabit Port | 200 Cihaz | WPA3 | VPN | Mobil Uygulama ile Kolay Kurulum</t>
  </si>
  <si>
    <t>TP-Link LS1008, 8-Port 10/100 Mbps Fast Ethernet Switch, 8 Bağlantılı Ethernet Çevirici, Beyaz</t>
  </si>
  <si>
    <t>TP-Link TL-WN722N, N150 Mbps Yüksek Kazanımlı Kablosuz USB Adaptör, 4dBi Ayrılabilir Anten</t>
  </si>
  <si>
    <t>Tapo S220, Akıllı Işık Anahtarı, Uzaktan Kumanda, Aletsiz Pil Değiştirme, Nötr Gerekmez, Tüm ampullerle uyumlu, Alexa ve Google Home ile Çalışır, Tapo Hub Gereklidir Ayrıca Satılır</t>
  </si>
  <si>
    <t>TP-Link LS1005 Ethernet Çevirici 5 Port, 10/100 Mbps, Beyaz</t>
  </si>
  <si>
    <t>TP-Link TL-WN823N, 300 Mbps N Kablosuz WPS/Soft AP Mini USB Adaptör</t>
  </si>
  <si>
    <t>TP-Link Archer TBE400U USB 3.0 Wi-Fi 7 Tri-Band Kablosuz Adaptör, BE6500, 6 GHz/5 GHz/2.4 GHz, 72x24x10.8 mm</t>
  </si>
  <si>
    <t>TP-Link TL-SG1008MP, 8-Port Gigabit Desktop/Rackmount Switch with 8-Port PoE+</t>
  </si>
  <si>
    <t>TP-Link TL-WA854RE N300 Mbps Wi-Fi Menzil Genişletici, 300Mbps Veri Aktarım Hızı</t>
  </si>
  <si>
    <t>Mercusys MS116GS; 16-Port Gigabit Portlu, Metal Kasalı, QoS Özellikli, Kurulum Gerektirmeyen Tak ve Çalıştır Özellikli Switch</t>
  </si>
  <si>
    <t>TP-Link Archer T2U Nano, AC600 Nano Wireless USB Adaptör</t>
  </si>
  <si>
    <t>TP-Link Tapo C113 | 2K Akıllı İç Mekan Güvenlik Kamerası | 2304×1296 Çözünürlük | Wi-Fi IP Kamera | Gece Görüş | Hareket Algılama | İki Yönlü Ses | Tapo Uygulama Desteği</t>
  </si>
  <si>
    <t>TP-Link TL-MR6400, N300 Mbps Kablosuz 4G LTE Router, 4G/3G SIM Yuvası, Yapılandırma Gerektirmez, Konuk Ağı ve Ebeveyn Kontrolü Desteği</t>
  </si>
  <si>
    <t>TP-Link RE655BE, BE9300 Mbps, 1× 2.5G Gigabit LAN Portu, 6GHz / 320MHz, EasyMesh Destekli, 4 Adet Harici Anten ile Geniş Kapsama Alanı, Tri-Band Wi-Fi 7 Menzil Genişletici</t>
  </si>
  <si>
    <t>TP-Link Archer TX23U WiFi 6 USB Adaptör AX1800 (1800 Mbps), Mini Nano Tasarım, Dual Band 5GHz/2.4GHz, USB 3.0, WPA3 Güvenlik, MU-MIMO OFDMA, Windows 11/10 Uyumlu Kablosuz Adaptör</t>
  </si>
  <si>
    <t>TP-Link TL-MR100-Outdoor | 4G LTE 300 Mbps Wi-Fi Outdoor Router | IP65 Dış Mekan Koruma | PoE/DC Güç Desteği | SIM Kartlı Tak-Çalıştır | Yıldırım &amp; ESD Koruması | Tether App ile Kolay Kurulum</t>
  </si>
  <si>
    <t>TP-Link Archer TX1U Nano; AX300 Mbps, Nano Tasarım, Tak ve Çalıştır, Linux ve Windows(11/10/7) Destekli, Wi-Fi 6 USB Adaptör</t>
  </si>
  <si>
    <t>TP-Link TL-MR150, N300 Mbps Kablosuz 4G LTE Router, 4G/3G SIM Yuvası, 32 Cihaza Kadar Bağlantı, Yapılandırma Gerektirmez, Konuk Ağı ve Ebeveyn Kontrolü Desteği</t>
  </si>
  <si>
    <t>TP-Link Tapo RVB102 | Robot Süpürge Şarj Ünitesi | RV30 Max &amp; RV20 Max Serisi ile Uyumlu | Güç Kablosu Dahil</t>
  </si>
  <si>
    <t>Mercusys MA14N | AX300 Mbps Nano USB Wi‑Fi 6 Adaptör | Kolay Kurulum | Windows &amp; Linux Uyumlu | Tak‑Çalıştır</t>
  </si>
  <si>
    <t>TP-Link TL-SF1008D 8-Portlu 10/100Mbps Masaüstü Switch</t>
  </si>
  <si>
    <t>Tp-link Archer VR600 AC1600 Kablosuz Gigabit VDSL/ADSL Modem Router, Siyah/Gümüş</t>
  </si>
  <si>
    <t>Tapo C660 KIT | 4K 8MP Güneş Enerjili Güvenlik Kamerası Kiti | 360° AI Takip | Çift Bant Wi-Fi | Starlight Renkli Gece Görüşü | Kişi/Evcil Hayvan/Araç Algılama |18x Zoom | 10000mAh Pil</t>
  </si>
  <si>
    <t>TP-Link UE200, USB 2.0 Ethernet Ağ Adaptörü</t>
  </si>
  <si>
    <t>Mercusys MR27BE; BE3600 Mbps, Fiber Destekli, 2× 2.5 Gbps WAN&amp;LAN Port + 2× Gbps Port, Easy Mesh Uyumlu, Dual-Band Wi-Fi 7 Router</t>
  </si>
  <si>
    <t>TP-Link TL-SG1016, 16-Port Gigabit Easy Smart Switch with 8-Port PoE+</t>
  </si>
  <si>
    <t>TP-Link LS108GP | 8-Port Gigabit PoE+ Switch | 62W PoE Bütçesi, 250m İletim, Tak ve Çalıştır | Fansız, Sessiz Metal Kasa | IP Kamera &amp; AP Uyumlu Ağ Anahtarı</t>
  </si>
  <si>
    <t>TP-Link Archer AX80, AX6000 8-Stream 2.5Gbps Ethernet Portlu Wi-Fi 6 Router, Fiber Destekli, 2.5G Gigabit Bağlantı Noktası, 160 MHz Genişliği, EasyMesh Uyumlu, VPN Destekli, HomeSheild</t>
  </si>
  <si>
    <t>Mercusys MR60X Wi-Fi 6 Router | AX1500 Mbps Hız, Gigabit Port, Fiber Uyumlu, WPA3 Güvenlik, Mobil Uygulama ile Kurulum, VPN Desteği, MU-MIMO &amp; Beamforming, Dual-Band</t>
  </si>
  <si>
    <t>Tapo T100, Hassasiyet Kontrolü, Pil Dahil, Kolay Kurulum, Alexa ile Çalışır, Diğer Ürünleri ile Aksiyon Tetikleme, Hub Gereklidir Ayrıca Satılır, Akıllı Hareket Sensörü</t>
  </si>
  <si>
    <t>TP-Link TL-SG1008D, 8-Portlu Gigabit Masaüstü Switch</t>
  </si>
  <si>
    <t>TP-Link Archer TX10E | AX900 Wi-Fi 6 Bluetooth 5.3 PCIe Adaptör | 887 Mbps Çift Bant Hız | MU-MIMO &amp; OFDMA | Çift Harici Anten | WPA3 Güvenlik | Masaüstü PC Dahili Ağ Kartı</t>
  </si>
  <si>
    <t>TP-Link UE330C, USB Type-C den 3 adet Type-A 3.0 Hub ve Gigabit Ethernet Adaptörü</t>
  </si>
  <si>
    <t>TP-Link TL-SG108PE, 8 Port Gigabit / 4 Port POE Smart Switch</t>
  </si>
  <si>
    <t>TP-Link UB600 Nano | Bluetooth 6.0 USB Adaptör | Yeni Nesil Yüksek Güvenlik ve Kararlılık | Kablosuz PC Alıcı | Windows 11/10/8.1/7 Uyumlu | Tak-Unut Mini Tasarım | Bluetooth Dongle</t>
  </si>
  <si>
    <t>TP-Link UC400, Yüksek Hızda 3.0 USB-C - USB-A Adaptör</t>
  </si>
  <si>
    <t>TP-Link TL-SG1005LP, 4 Port PoE + ile 5 Port Gigabit Masaüstü Switch</t>
  </si>
  <si>
    <t>TP-Link MC220L, Gigabit Ethernet Medya Dönüştürücü</t>
  </si>
  <si>
    <t>TP-Link Tapo C501GW | 4G LTE Dış Mekan Güvenlik Kamerası | 360° Görüntüleme | 1080P Full HD | Renkli Gece Görüşü | IP66 | AI Algılama | Alarm | PoE Desteği | microSD &amp; Bulut Destekli</t>
  </si>
  <si>
    <t>TP-Link Tapo P410M Akıllı Dış Mekan Wi-Fi Priz, Matter Sertifikalı, IP54 Su Sıçramasına Dayanıklı, V-0 Alev Geciktirici Malzeme, 16A, 2.4 GHz</t>
  </si>
  <si>
    <t>TP-Link DECO S7 2-Pack Dual-band 2.4 GHz/5 GHz Wi-Fi 5 802.AC1900 260 2.80</t>
  </si>
  <si>
    <t>TP-Link TL-WN8200ND, 300Mbps High Power Wireless USB Adapter</t>
  </si>
  <si>
    <t>TP-Link TL-WN727N, N150 Mbps Kablosuz USB Adaptör, 150 mbps, Wi-Fi, USB Donanım Kilidi, LAN, WLAN</t>
  </si>
  <si>
    <t>TP-Link Archer TX30U Plus WiFi 6 USB Adaptör AX1800 (1800 Mbps), Dual Band 5GHz/2.4GHz, USB 3.0, Çift Yüksek Kazançlı Anten, WPA3 Güvenlik, Windows 11/10 Uyumlu Kablosuz Adaptör</t>
  </si>
  <si>
    <t>TP-Link TL-SG116, 16-Port Gigabit Desktop Switch</t>
  </si>
  <si>
    <t>Mercusys Halo H60X 2-pack, AX1500Mbps, Dual-Band, Gigabit Portları, 100'e Kadar Cihaz Bağlanabilir, 350 m²'ye Kadar Kapsama, Akıllı Bağlantı, Mobil Uygulama ile Kolay Kurulum, Wi-Fi 6 Mesh Sistemi</t>
  </si>
  <si>
    <t>Mercusys MB230-4G, AC1200Mbps, Mobil Uygulama Destekli, 64 Cihaza Kadar Bağlantı, SIM Kart Girişli, 2 Adet Ethernet Portlu, Dual-Band Cat 6 4G+ LTE Router</t>
  </si>
  <si>
    <t>Mercusys ME25BE | BE3600 Wi-Fi 7 Menzil Genişletici | 3600 Mbps Çift Bant Hız | Gigabit Ethernet Port | EasyMesh Uyumlu | Akıllı Sinyal Göstergesi | Sinyal Güçlendirici &amp; Access Point</t>
  </si>
  <si>
    <t>TP-Link Archer AX53, AX3000 Dual Band Gigabit Wi-Fi 6 Router, Fiber Destekli, 4× Gigabit LAN Ports, WPA3, Oyun için İdeal Xbox/PS4/Steam</t>
  </si>
  <si>
    <t>TP-Link TL-SM331T, 1000BASE-T RJ45 SFP Module</t>
  </si>
  <si>
    <t>TP-Link MC110CS, Fast Ethernet Medya Dönüştürücü</t>
  </si>
  <si>
    <t>TP-Link TL-WN881ND 300 MBps Kablosuz N PCI Express Adaptör</t>
  </si>
  <si>
    <t>Tapo L510E AYARLANABİLİR IŞIK SEVİYELİ AKILLI WI-FI LED AMPUL 2700K Warm White</t>
  </si>
  <si>
    <t>Tapo T310, Akıllı Sıcaklık ve Nem Monitörü, Ücretsiz Veri Depolama, Gerçek Zamanlı Bildirimler, Pil Dahildir, Alexa ve Google Home ile Çalışır, Tapo Hub Gereklidir Ayrıca Satılır</t>
  </si>
  <si>
    <t>TP-Link USB 3.0 7-port hub UH700</t>
  </si>
  <si>
    <t>TP-Link RE205, AC750 Wi-Fi Menzil Genişletici, 2 Harici Anten ve 1 Ethernet Bağlantı Noktalı Wi-Fi Güçlendirici/Hotspot, Access Point Modu, Tüm Wi-Fi Yönlendiriciler ile Çalışır</t>
  </si>
  <si>
    <t>Mercusys MA30N, AC1300 Mbps, Çift Bant, MU-MIMO, Tak ve Çalıştır, Nano Wi-Fi 5 USB Adaptör</t>
  </si>
  <si>
    <t>TP-Link TL-SF1016D, AC650 Yüksek Kazançlı Kablosuz Çift Bantlı USB Adaptör</t>
  </si>
  <si>
    <t>TP-Link TL-WR840N, 300Mbps Kablosuz N Router</t>
  </si>
  <si>
    <t>Tapo RVA301 yıkanabilir paspas bezi (5 adet), Tapo RV30 Max Plus, Tapo RV30 Max, Tapo RV20 Max Plus, Tapo RV20 Max ile uyumlu</t>
  </si>
  <si>
    <t>TP-Link Archer A5, AC1200Mbps, MU-MIMO, Mobil Uygulama Destekli, Access Point Modu, Dual-Band Wi-Fi 5 Router</t>
  </si>
  <si>
    <t>Mercusys MC500 | 1080p Dış Mekan Güvenlik Kamerası | 360° Görüş | Renkli Gece Görüşü | Akıllı Takip | IP65 Hava Koşullarına Dayanıklı | microSD &amp; Bulut Depolama | SmartThings, Google Home, Alexa</t>
  </si>
  <si>
    <t>TP-Link EAP110, 300Mbps Wireless N Tavan Montajlı Merkezi Wi-Fi yönetimli Access Point</t>
  </si>
  <si>
    <t>TP‑Link Tapo S110E | Akıllı Switch Modülü | Kuru &amp; Islak Kontak Desteği | Wi‑Fi &amp; Bluetooth Bağlantı | Matter/Alexa/Google Home/Apple Home Uyumlu | Uzaktan &amp; Sesle Kontrol</t>
  </si>
  <si>
    <t>TP-Link LS106LP | 6-Port 10/100Mbps PoE Switch | 4-Port PoE, 41W Güç Bütçesi, 250m İletim | Tak ve Çalıştır, Sessiz Metal Kasa | IP Kamera ve AP Uyumlu</t>
  </si>
  <si>
    <t>Tapo C210, 2K 3MP, Hareket Tespit ve Takibi, 360°, 9m Gece Görüşü, Çift Yönlü Sesli İletişim, Sesli Alarm, Bulut/Yerel Depolama, Bebek Ağlaması Tespiti, İç Mekan Wi-Fi Güvenlik Kamerası</t>
  </si>
  <si>
    <t>TP-Link TL-WR802N, 300Mbps Kablosuz N Nano Router</t>
  </si>
  <si>
    <t>Mercusys MA20N, AC650 Mbps Kablosuz Dual-Band Nano USB Adaptör</t>
  </si>
  <si>
    <t>Tapo H100, Tapo Akıllı Hub, Tapo Akıllı Anahtar, Düğme ve Sensörle Çalışır, 64 Cihaz Bağlanabilir, 19 Zil Sesi Seçeneği, Kablolama Gerekmez</t>
  </si>
  <si>
    <t>TP-Link TL-POE10R, PoE Splitter</t>
  </si>
  <si>
    <t>TP-Link TL-SG108 V3 8 Portlu Gigabit Ağ Anahtarı 8 Port Siyah TL-SG108</t>
  </si>
  <si>
    <t>Tapo L610, Akıllı Wi-Fi Spot Işığı, Ayarlanabilir Parlaklık, GU10 Lamba Tabanı, Uzaktan Kumanda, Enerji Tasarrufu, Alexa ve Google Home ile Çalışır, Hub Gerektirmez</t>
  </si>
  <si>
    <t>TP-Link UA430D | USB 3.0 Type-C &amp; Type-A SD/microSD Kart Okuyucu | 5 Gbps Hız, UHS-I 200 MB/s, Çift Kart Eşzamanlı Okuma/Yazma, 2TB’a Kadar Destek, Alüminyum Gövde, Tak-Çalıştır</t>
  </si>
  <si>
    <t>Tapo L510E 2-pack , Ayarlanabilir Akıllı Wi-Fi Ampulü, 806 Lümen, E27 Duy, 8,3W, Enerji tasarrufu, Amazon Alexa ve Google Home ile çalışır, Kısılabilir Yumuşak Sıcak Beyaz, Hub Gerekmez</t>
  </si>
  <si>
    <t>Mercusys MA12N, N300 Mbps Kablosuz Nano USB Adaptör</t>
  </si>
  <si>
    <t>TP-Link TL-WN821N, 300 Mbps N Kablosuz WPS USB Adaptör</t>
  </si>
  <si>
    <t>TP-Link TD-W8961N, 300Mbps Wireless N ADSL2+ Modem Router</t>
  </si>
  <si>
    <t>TP-Link RE505X, AX1500 Mbps OneMesh Wi-Fi 6 Menzil Genişletici, Geniş Bant/Wi-Fi Genişletici, 1 Gigabit Bağlantı Noktası ve 2 Harici Anten ile Güçlendirici/Hotspot, Dahili Erişim Noktası Modu</t>
  </si>
  <si>
    <t>TP-Link M7350 LTE-Advanced Mobil WiFi Siyah/Beyaz</t>
  </si>
  <si>
    <t>TP-Link M7200, 4G LTE Mobil Wi-Fi Router</t>
  </si>
  <si>
    <t>Mercusys Halo H25BE(2-pack) | Wi-Fi 7 Mesh Sistemi | BE3600 Mbps Hız | Fiber Uyumlu | Dual-Band | 3x1G Port | 460 m² Kapsama | MLO | 320 MHz, 4K-QAM | 8K Yayın | Kolay Kurulum ve Kullanım</t>
  </si>
  <si>
    <t>TP-Link TL-WPA4226KIT, AV600 300 Mbps Kablosuz 2 LAN Portlu 300 Metre Mesafeli Priz Girişli Powerline</t>
  </si>
  <si>
    <t>TP-Link TL-MR3020, Portatif 3G/4G Kablosuz N Router</t>
  </si>
  <si>
    <t>Tapo C325WB, 2K 4MP, Yapay Zeka Desteği, Hareket Tespit, IP66 Su Geçirmez, Renkli Gece Görüşü, Çift Yönlü Ses, Bulut/Yerel Depolama, Sesli ve Işıklı Alarm, Dış Mekan Wi-Fi Güvenlik Kamerası</t>
  </si>
  <si>
    <t>TP-Link Archer VR400, AC1200 Mbps Kablosuz Dual-Band MU-MIMO Fiber Destekli VDSL/ADSL Modem Router, 4 Gigabit LAN Portları + 1 USB 2.0 Port, Beamforming, Tether Uygulaması ile Kolay Kurulum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</si>
</sst>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formatCode="[black] #,##0; [red](#,##0); 0;" numFmtId="164"/>
    <numFmt formatCode="[black] #,##0.00; [red](#,##0.00); 0.00;" numFmtId="165"/>
    <numFmt formatCode="[black] #,##0.##; [red](#,##0.##); 0.00;" numFmtId="166"/>
    <numFmt formatCode="[black] #,##0.00%; [red](#,##0.00%); 0.00%;" numFmtId="167"/>
    <numFmt formatCode="yyyy-mm-dd" numFmtId="168"/>
  </numFmts>
  <fonts count="4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  <font>
      <sz val="11"/>
      <color rgb="FF007587"/>
      <name val="Calibri"/>
      <u val="single"/>
    </font>
    <font>
      <sz val="11"/>
      <color rgb="FF000000"/>
      <name val="Calibri"/>
      <b/>
      <u val="none"/>
    </font>
  </fonts>
  <fills count="3">
    <fill>
      <patternFill patternType="none"/>
    </fill>
    <fill>
      <patternFill patternType="gray125"/>
    </fill>
    <fill>
      <patternFill patternType="solid">
        <fgColor rgb="FFf7f7f8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borderId="0" fillId="0" fontId="0" numFmtId="0" xfId="0"/>
    <xf applyBorder="1" applyFill="1" borderId="1" fillId="2" applyFont="1" fontId="1" numFmtId="0" xfId="0"/>
    <xf applyBorder="1" applyFill="1" borderId="1" fillId="2" applyFont="1" fontId="1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167" xfId="0"/>
    <xf borderId="0" fillId="0" fontId="0" applyNumberFormat="1" numFmtId="168" xfId="0"/>
    <xf borderId="0" fillId="0" applyFont="1" fontId="2" numFmtId="0" xfId="0"/>
    <xf applyBorder="1" borderId="1" fillId="0" applyFont="1" fontId="3" numFmtId="0" xfId="0"/>
    <xf applyBorder="1" borderId="1" fillId="0" applyFont="1" fontId="3" numFmtId="0" xfId="0"/>
    <xf applyBorder="1" borderId="1" fillId="0" applyFont="1" fontId="3" numFmtId="0" xfId="0"/>
    <xf applyBorder="1" borderId="1" fillId="0" applyFont="1" fontId="3" applyNumberFormat="1" numFmtId="166" xfId="0"/>
    <xf applyBorder="1" borderId="1" fillId="0" applyFont="1" fontId="3" applyNumberFormat="1" numFmtId="164" xfId="0"/>
    <xf borderId="0" fillId="0" applyFont="1" fontId="2" numFmtId="0" xfId="0"/>
    <xf borderId="0" fillId="0" fontId="0" applyNumberFormat="1" numFmtId="166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0" hidden="0" bestFit="0" customWidth="1"/>
    <col min="2" max="2" width="50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ht="15" customHeight="1" spans="1: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</row>
    <row r="2" hidden="0" ht="15" customHeight="1" spans="1:1">
      <c r="A2" t="s" s="11">
        <v>6</v>
      </c>
      <c r="B2" t="s" s="12">
        <v/>
      </c>
      <c r="C2" t="n" s="13">
        <v>15587414.57</v>
      </c>
      <c r="D2" t="n" s="14">
        <v>9526</v>
      </c>
      <c r="E2" t="n" s="14">
        <v>601</v>
      </c>
      <c r="F2" t="n" s="13">
        <v>0</v>
      </c>
    </row>
    <row r="3" hidden="0" ht="15" customHeight="1" spans="1:1">
      <c r="A3" t="str" s="15">
        <f>HYPERLINK("https://amazon.com/dp/B09LVFNMVJ", "B09LVFNMVJ")</f>
      </c>
      <c r="B3" t="s">
        <v>7</v>
      </c>
      <c r="C3" t="n" s="16">
        <v>676636.97</v>
      </c>
      <c r="D3" t="n" s="17">
        <v>136</v>
      </c>
      <c r="E3" t="n" s="17">
        <v>7</v>
      </c>
      <c r="F3" t="n" s="16">
        <v>0</v>
      </c>
    </row>
    <row r="4" hidden="0" ht="15" customHeight="1" spans="1:1">
      <c r="A4" t="str" s="15">
        <f>HYPERLINK("https://amazon.com/dp/B07TV5WQ78", "B07TV5WQ78")</f>
      </c>
      <c r="B4" t="s">
        <v>8</v>
      </c>
      <c r="C4" t="n" s="16">
        <v>601587.16</v>
      </c>
      <c r="D4" t="n" s="17">
        <v>194</v>
      </c>
      <c r="E4" t="n" s="17">
        <v>11</v>
      </c>
      <c r="F4" t="n" s="16">
        <v>0</v>
      </c>
    </row>
    <row r="5" hidden="0" ht="15" customHeight="1" spans="1:1">
      <c r="A5" t="str" s="15">
        <f>HYPERLINK("https://amazon.com/dp/B0BRRH519K", "B0BRRH519K")</f>
      </c>
      <c r="B5" t="s">
        <v>9</v>
      </c>
      <c r="C5" t="n" s="16">
        <v>489551.93</v>
      </c>
      <c r="D5" t="n" s="17">
        <v>22</v>
      </c>
      <c r="E5" t="n" s="17">
        <v>1</v>
      </c>
      <c r="F5" t="n" s="16">
        <v>0</v>
      </c>
    </row>
    <row r="6" hidden="0" ht="15" customHeight="1" spans="1:1">
      <c r="A6" t="str" s="15">
        <f>HYPERLINK("https://amazon.com/dp/B0CJCLWF8N", "B0CJCLWF8N")</f>
      </c>
      <c r="B6" t="s">
        <v>10</v>
      </c>
      <c r="C6" t="n" s="16">
        <v>428106.99</v>
      </c>
      <c r="D6" t="n" s="17">
        <v>162</v>
      </c>
      <c r="E6" t="n" s="17">
        <v>14</v>
      </c>
      <c r="F6" t="n" s="16">
        <v>0</v>
      </c>
    </row>
    <row r="7" hidden="0" ht="15" customHeight="1" spans="1:1">
      <c r="A7" t="str" s="15">
        <f>HYPERLINK("https://amazon.com/dp/B0CJJ733W3", "B0CJJ733W3")</f>
      </c>
      <c r="B7" t="s">
        <v>11</v>
      </c>
      <c r="C7" t="n" s="16">
        <v>426947.7</v>
      </c>
      <c r="D7" t="n" s="17">
        <v>30</v>
      </c>
      <c r="E7" t="n" s="17">
        <v>1</v>
      </c>
      <c r="F7" t="n" s="16">
        <v>0</v>
      </c>
    </row>
    <row r="8" hidden="0" ht="15" customHeight="1" spans="1:1">
      <c r="A8" t="str" s="15">
        <f>HYPERLINK("https://amazon.com/dp/B09LVG58VX", "B09LVG58VX")</f>
      </c>
      <c r="B8" t="s">
        <v>12</v>
      </c>
      <c r="C8" t="n" s="16">
        <v>424917.25</v>
      </c>
      <c r="D8" t="n" s="17">
        <v>50</v>
      </c>
      <c r="E8" t="n" s="17">
        <v>5</v>
      </c>
      <c r="F8" t="n" s="16">
        <v>0</v>
      </c>
    </row>
    <row r="9" hidden="0" ht="15" customHeight="1" spans="1:1">
      <c r="A9" t="str" s="15">
        <f>HYPERLINK("https://amazon.com/dp/B0DXV1P593", "B0DXV1P593")</f>
      </c>
      <c r="B9" t="s">
        <v>13</v>
      </c>
      <c r="C9" t="n" s="16">
        <v>399080.74</v>
      </c>
      <c r="D9" t="n" s="17">
        <v>277</v>
      </c>
      <c r="E9" t="n" s="17">
        <v>10</v>
      </c>
      <c r="F9" t="n" s="16">
        <v>0</v>
      </c>
    </row>
    <row r="10" hidden="0" ht="15" customHeight="1" spans="1:1">
      <c r="A10" t="str" s="15">
        <f>HYPERLINK("https://amazon.com/dp/B0CDCL6FLC", "B0CDCL6FLC")</f>
      </c>
      <c r="B10" t="s">
        <v>14</v>
      </c>
      <c r="C10" t="n" s="16">
        <v>361636.82</v>
      </c>
      <c r="D10" t="n" s="17">
        <v>285</v>
      </c>
      <c r="E10" t="n" s="17">
        <v>10</v>
      </c>
      <c r="F10" t="n" s="16">
        <v>0</v>
      </c>
    </row>
    <row r="11" hidden="0" ht="15" customHeight="1" spans="1:1">
      <c r="A11" t="str" s="15">
        <f>HYPERLINK("https://amazon.com/dp/B0BN4BQ1DM", "B0BN4BQ1DM")</f>
      </c>
      <c r="B11" t="s">
        <v>15</v>
      </c>
      <c r="C11" t="n" s="16">
        <v>318291.37</v>
      </c>
      <c r="D11" t="n" s="17">
        <v>160</v>
      </c>
      <c r="E11" t="n" s="17">
        <v>6</v>
      </c>
      <c r="F11" t="n" s="16">
        <v>0</v>
      </c>
    </row>
    <row r="12" hidden="0" ht="15" customHeight="1" spans="1:1">
      <c r="A12" t="str" s="15">
        <f>HYPERLINK("https://amazon.com/dp/B0D6W2BPFC", "B0D6W2BPFC")</f>
      </c>
      <c r="B12" t="s">
        <v>16</v>
      </c>
      <c r="C12" t="n" s="16">
        <v>280718.47</v>
      </c>
      <c r="D12" t="n" s="17">
        <v>28</v>
      </c>
      <c r="E12" t="n" s="17">
        <v>2</v>
      </c>
      <c r="F12" t="n" s="16">
        <v>0</v>
      </c>
    </row>
    <row r="13" hidden="0" ht="15" customHeight="1" spans="1:1">
      <c r="A13" t="str" s="15">
        <f>HYPERLINK("https://amazon.com/dp/B07L45LZP5", "B07L45LZP5")</f>
      </c>
      <c r="B13" t="s">
        <v>17</v>
      </c>
      <c r="C13" t="n" s="16">
        <v>279153.79</v>
      </c>
      <c r="D13" t="n" s="17">
        <v>60</v>
      </c>
      <c r="E13" t="n" s="17">
        <v>1</v>
      </c>
      <c r="F13" t="n" s="16">
        <v>0</v>
      </c>
    </row>
    <row r="14" hidden="0" ht="15" customHeight="1" spans="1:1">
      <c r="A14" t="str" s="15">
        <f>HYPERLINK("https://amazon.com/dp/B07XLML2YS", "B07XLML2YS")</f>
      </c>
      <c r="B14" t="s">
        <v>18</v>
      </c>
      <c r="C14" t="n" s="16">
        <v>277972.55</v>
      </c>
      <c r="D14" t="n" s="17">
        <v>302</v>
      </c>
      <c r="E14" t="n" s="17">
        <v>14</v>
      </c>
      <c r="F14" t="n" s="16">
        <v>0</v>
      </c>
    </row>
    <row r="15" hidden="0" ht="15" customHeight="1" spans="1:1">
      <c r="A15" t="str" s="15">
        <f>HYPERLINK("https://amazon.com/dp/B09BMXXW6N", "B09BMXXW6N")</f>
      </c>
      <c r="B15" t="s">
        <v>19</v>
      </c>
      <c r="C15" t="n" s="16">
        <v>239149.21</v>
      </c>
      <c r="D15" t="n" s="17">
        <v>113</v>
      </c>
      <c r="E15" t="n" s="17">
        <v>12</v>
      </c>
      <c r="F15" t="n" s="16">
        <v>0</v>
      </c>
    </row>
    <row r="16" hidden="0" ht="15" customHeight="1" spans="1:1">
      <c r="A16" t="str" s="15">
        <f>HYPERLINK("https://amazon.com/dp/B0D5BCN87V", "B0D5BCN87V")</f>
      </c>
      <c r="B16" t="s">
        <v>20</v>
      </c>
      <c r="C16" t="n" s="16">
        <v>230380.98</v>
      </c>
      <c r="D16" t="n" s="17">
        <v>85</v>
      </c>
      <c r="E16" t="n" s="17">
        <v>4</v>
      </c>
      <c r="F16" t="n" s="16">
        <v>0</v>
      </c>
    </row>
    <row r="17" hidden="0" ht="15" customHeight="1" spans="1:1">
      <c r="A17" t="str" s="15">
        <f>HYPERLINK("https://amazon.com/dp/B07KJ2TDMR", "B07KJ2TDMR")</f>
      </c>
      <c r="B17" t="s">
        <v>21</v>
      </c>
      <c r="C17" t="n" s="16">
        <v>220425.77</v>
      </c>
      <c r="D17" t="n" s="17">
        <v>69</v>
      </c>
      <c r="E17" t="n" s="17">
        <v>4</v>
      </c>
      <c r="F17" t="n" s="16">
        <v>0</v>
      </c>
    </row>
    <row r="18" hidden="0" ht="15" customHeight="1" spans="1:1">
      <c r="A18" t="str" s="15">
        <f>HYPERLINK("https://amazon.com/dp/B0D6W2Z4XZ", "B0D6W2Z4XZ")</f>
      </c>
      <c r="B18" t="s">
        <v>22</v>
      </c>
      <c r="C18" t="n" s="16">
        <v>220321.8</v>
      </c>
      <c r="D18" t="n" s="17">
        <v>98</v>
      </c>
      <c r="E18" t="n" s="17">
        <v>17</v>
      </c>
      <c r="F18" t="n" s="16">
        <v>0</v>
      </c>
    </row>
    <row r="19" hidden="0" ht="15" customHeight="1" spans="1:1">
      <c r="A19" t="str" s="15">
        <f>HYPERLINK("https://amazon.com/dp/B0D6W3T4M3", "B0D6W3T4M3")</f>
      </c>
      <c r="B19" t="s">
        <v>23</v>
      </c>
      <c r="C19" t="n" s="16">
        <v>215113.58</v>
      </c>
      <c r="D19" t="n" s="17">
        <v>33</v>
      </c>
      <c r="E19" t="n" s="17">
        <v>2</v>
      </c>
      <c r="F19" t="n" s="16">
        <v>0</v>
      </c>
    </row>
    <row r="20" hidden="0" ht="15" customHeight="1" spans="1:1">
      <c r="A20" t="str" s="15">
        <f>HYPERLINK("https://amazon.com/dp/B0859MDSFX", "B0859MDSFX")</f>
      </c>
      <c r="B20" t="s">
        <v>24</v>
      </c>
      <c r="C20" t="n" s="16">
        <v>214127.24</v>
      </c>
      <c r="D20" t="n" s="17">
        <v>92</v>
      </c>
      <c r="E20" t="n" s="17">
        <v>14</v>
      </c>
      <c r="F20" t="n" s="16">
        <v>0</v>
      </c>
    </row>
    <row r="21" hidden="0" ht="15" customHeight="1" spans="1:1">
      <c r="A21" t="str" s="15">
        <f>HYPERLINK("https://amazon.com/dp/B0FMR6CSTD", "B0FMR6CSTD")</f>
      </c>
      <c r="B21" t="s">
        <v>25</v>
      </c>
      <c r="C21" t="n" s="16">
        <v>196583.33</v>
      </c>
      <c r="D21" t="n" s="17">
        <v>67</v>
      </c>
      <c r="E21" t="n" s="17">
        <v>0</v>
      </c>
      <c r="F21" t="n" s="16">
        <v>0</v>
      </c>
    </row>
    <row r="22" hidden="0" ht="15" customHeight="1" spans="1:1">
      <c r="A22" t="str" s="15">
        <f>HYPERLINK("https://amazon.com/dp/B09PRG6MJX", "B09PRG6MJX")</f>
      </c>
      <c r="B22" t="s">
        <v>26</v>
      </c>
      <c r="C22" t="n" s="16">
        <v>188071.83</v>
      </c>
      <c r="D22" t="n" s="17">
        <v>97</v>
      </c>
      <c r="E22" t="n" s="17">
        <v>9</v>
      </c>
      <c r="F22" t="n" s="16">
        <v>0</v>
      </c>
    </row>
    <row r="23" hidden="0" ht="15" customHeight="1" spans="1:1">
      <c r="A23" t="str" s="15">
        <f>HYPERLINK("https://amazon.com/dp/B0F1Z7SB2N", "B0F1Z7SB2N")</f>
      </c>
      <c r="B23" t="s">
        <v>27</v>
      </c>
      <c r="C23" t="n" s="16">
        <v>176486.51</v>
      </c>
      <c r="D23" t="n" s="17">
        <v>81</v>
      </c>
      <c r="E23" t="n" s="17">
        <v>1</v>
      </c>
      <c r="F23" t="n" s="16">
        <v>0</v>
      </c>
    </row>
    <row r="24" hidden="0" ht="15" customHeight="1" spans="1:1">
      <c r="A24" t="str" s="15">
        <f>HYPERLINK("https://amazon.com/dp/B0F3PDJC9F", "B0F3PDJC9F")</f>
      </c>
      <c r="B24" t="s">
        <v>28</v>
      </c>
      <c r="C24" t="n" s="16">
        <v>165996.72</v>
      </c>
      <c r="D24" t="n" s="17">
        <v>36</v>
      </c>
      <c r="E24" t="n" s="17">
        <v>0</v>
      </c>
      <c r="F24" t="n" s="16">
        <v>0</v>
      </c>
    </row>
    <row r="25" hidden="0" ht="15" customHeight="1" spans="1:1">
      <c r="A25" t="str" s="15">
        <f>HYPERLINK("https://amazon.com/dp/B077PZLGVB", "B077PZLGVB")</f>
      </c>
      <c r="B25" t="s">
        <v>29</v>
      </c>
      <c r="C25" t="n" s="16">
        <v>156623.26</v>
      </c>
      <c r="D25" t="n" s="17">
        <v>109</v>
      </c>
      <c r="E25" t="n" s="17">
        <v>14</v>
      </c>
      <c r="F25" t="n" s="16">
        <v>0</v>
      </c>
    </row>
    <row r="26" hidden="0" ht="15" customHeight="1" spans="1:1">
      <c r="A26" t="str" s="15">
        <f>HYPERLINK("https://amazon.com/dp/B0F3PCWSWB", "B0F3PCWSWB")</f>
      </c>
      <c r="B26" t="s">
        <v>30</v>
      </c>
      <c r="C26" t="n" s="16">
        <v>146652.12</v>
      </c>
      <c r="D26" t="n" s="17">
        <v>28</v>
      </c>
      <c r="E26" t="n" s="17">
        <v>2</v>
      </c>
      <c r="F26" t="n" s="16">
        <v>0</v>
      </c>
    </row>
    <row r="27" hidden="0" ht="15" customHeight="1" spans="1:1">
      <c r="A27" t="str" s="15">
        <f>HYPERLINK("https://amazon.com/dp/B08R6JH8DG", "B08R6JH8DG")</f>
      </c>
      <c r="B27" t="s">
        <v>31</v>
      </c>
      <c r="C27" t="n" s="16">
        <v>144775.74</v>
      </c>
      <c r="D27" t="n" s="17">
        <v>125</v>
      </c>
      <c r="E27" t="n" s="17">
        <v>7</v>
      </c>
      <c r="F27" t="n" s="16">
        <v>0</v>
      </c>
    </row>
    <row r="28" hidden="0" ht="15" customHeight="1" spans="1:1">
      <c r="A28" t="str" s="15">
        <f>HYPERLINK("https://amazon.com/dp/B0C4SN9V5K", "B0C4SN9V5K")</f>
      </c>
      <c r="B28" t="s">
        <v>32</v>
      </c>
      <c r="C28" t="n" s="16">
        <v>143175.31</v>
      </c>
      <c r="D28" t="n" s="17">
        <v>105</v>
      </c>
      <c r="E28" t="n" s="17">
        <v>16</v>
      </c>
      <c r="F28" t="n" s="16">
        <v>0</v>
      </c>
    </row>
    <row r="29" hidden="0" ht="15" customHeight="1" spans="1:1">
      <c r="A29" t="str" s="15">
        <f>HYPERLINK("https://amazon.com/dp/B0FBGN1GWB", "B0FBGN1GWB")</f>
      </c>
      <c r="B29" t="s">
        <v>33</v>
      </c>
      <c r="C29" t="n" s="16">
        <v>138936.28</v>
      </c>
      <c r="D29" t="n" s="17">
        <v>27</v>
      </c>
      <c r="E29" t="n" s="17">
        <v>2</v>
      </c>
      <c r="F29" t="n" s="16">
        <v>0</v>
      </c>
    </row>
    <row r="30" hidden="0" ht="15" customHeight="1" spans="1:1">
      <c r="A30" t="str" s="15">
        <f>HYPERLINK("https://amazon.com/dp/B0FZ42SM7R", "B0FZ42SM7R")</f>
      </c>
      <c r="B30" t="s">
        <v>34</v>
      </c>
      <c r="C30" t="n" s="16">
        <v>131266.83</v>
      </c>
      <c r="D30" t="n" s="17">
        <v>123</v>
      </c>
      <c r="E30" t="n" s="17">
        <v>3</v>
      </c>
      <c r="F30" t="n" s="16">
        <v>0</v>
      </c>
    </row>
    <row r="31" hidden="0" ht="15" customHeight="1" spans="1:1">
      <c r="A31" t="str" s="15">
        <f>HYPERLINK("https://amazon.com/dp/B0BZMLKXL4", "B0BZMLKXL4")</f>
      </c>
      <c r="B31" t="s">
        <v>35</v>
      </c>
      <c r="C31" t="n" s="16">
        <v>130132.62</v>
      </c>
      <c r="D31" t="n" s="17">
        <v>82</v>
      </c>
      <c r="E31" t="n" s="17">
        <v>3</v>
      </c>
      <c r="F31" t="n" s="16">
        <v>0</v>
      </c>
    </row>
    <row r="32" hidden="0" ht="15" customHeight="1" spans="1:1">
      <c r="A32" t="str" s="15">
        <f>HYPERLINK("https://amazon.com/dp/B08FSJD59S", "B08FSJD59S")</f>
      </c>
      <c r="B32" t="s">
        <v>36</v>
      </c>
      <c r="C32" t="n" s="16">
        <v>129402.6</v>
      </c>
      <c r="D32" t="n" s="17">
        <v>316</v>
      </c>
      <c r="E32" t="n" s="17">
        <v>1</v>
      </c>
      <c r="F32" t="n" s="16">
        <v>0</v>
      </c>
    </row>
    <row r="33" hidden="0" ht="15" customHeight="1" spans="1:1">
      <c r="A33" t="str" s="15">
        <f>HYPERLINK("https://amazon.com/dp/B0D6W1FWJG", "B0D6W1FWJG")</f>
      </c>
      <c r="B33" t="s">
        <v>37</v>
      </c>
      <c r="C33" t="n" s="16">
        <v>127442.28</v>
      </c>
      <c r="D33" t="n" s="17">
        <v>37</v>
      </c>
      <c r="E33" t="n" s="17">
        <v>2</v>
      </c>
      <c r="F33" t="n" s="16">
        <v>0</v>
      </c>
    </row>
    <row r="34" hidden="0" ht="15" customHeight="1" spans="1:1">
      <c r="A34" t="str" s="15">
        <f>HYPERLINK("https://amazon.com/dp/B0DJFPX6BW", "B0DJFPX6BW")</f>
      </c>
      <c r="B34" t="s">
        <v>38</v>
      </c>
      <c r="C34" t="n" s="16">
        <v>126717.05</v>
      </c>
      <c r="D34" t="n" s="17">
        <v>23</v>
      </c>
      <c r="E34" t="n" s="17">
        <v>2</v>
      </c>
      <c r="F34" t="n" s="16">
        <v>0</v>
      </c>
    </row>
    <row r="35" hidden="0" ht="15" customHeight="1" spans="1:1">
      <c r="A35" t="str" s="15">
        <f>HYPERLINK("https://amazon.com/dp/B07P7KM4Y6", "B07P7KM4Y6")</f>
      </c>
      <c r="B35" t="s">
        <v>39</v>
      </c>
      <c r="C35" t="n" s="16">
        <v>126460.93</v>
      </c>
      <c r="D35" t="n" s="17">
        <v>60</v>
      </c>
      <c r="E35" t="n" s="17">
        <v>0</v>
      </c>
      <c r="F35" t="n" s="16">
        <v>0</v>
      </c>
    </row>
    <row r="36" hidden="0" ht="15" customHeight="1" spans="1:1">
      <c r="A36" t="str" s="15">
        <f>HYPERLINK("https://amazon.com/dp/B0C5Y4LW7V", "B0C5Y4LW7V")</f>
      </c>
      <c r="B36" t="s">
        <v>40</v>
      </c>
      <c r="C36" t="n" s="16">
        <v>125046.46</v>
      </c>
      <c r="D36" t="n" s="17">
        <v>6</v>
      </c>
      <c r="E36" t="n" s="17">
        <v>0</v>
      </c>
      <c r="F36" t="n" s="16">
        <v>0</v>
      </c>
    </row>
    <row r="37" hidden="0" ht="15" customHeight="1" spans="1:1">
      <c r="A37" t="str" s="15">
        <f>HYPERLINK("https://amazon.com/dp/B00C2ICYPC", "B00C2ICYPC")</f>
      </c>
      <c r="B37" t="s">
        <v>41</v>
      </c>
      <c r="C37" t="n" s="16">
        <v>116021.68</v>
      </c>
      <c r="D37" t="n" s="17">
        <v>55</v>
      </c>
      <c r="E37" t="n" s="17">
        <v>5</v>
      </c>
      <c r="F37" t="n" s="16">
        <v>0</v>
      </c>
    </row>
    <row r="38" hidden="0" ht="15" customHeight="1" spans="1:1">
      <c r="A38" t="str" s="15">
        <f>HYPERLINK("https://amazon.com/dp/B07L44RHC2", "B07L44RHC2")</f>
      </c>
      <c r="B38" t="s">
        <v>42</v>
      </c>
      <c r="C38" t="n" s="16">
        <v>115683.08</v>
      </c>
      <c r="D38" t="n" s="17">
        <v>81</v>
      </c>
      <c r="E38" t="n" s="17">
        <v>5</v>
      </c>
      <c r="F38" t="n" s="16">
        <v>0</v>
      </c>
    </row>
    <row r="39" hidden="0" ht="15" customHeight="1" spans="1:1">
      <c r="A39" t="str" s="15">
        <f>HYPERLINK("https://amazon.com/dp/B085PFRFKX", "B085PFRFKX")</f>
      </c>
      <c r="B39" t="s">
        <v>43</v>
      </c>
      <c r="C39" t="n" s="16">
        <v>112734.78</v>
      </c>
      <c r="D39" t="n" s="17">
        <v>63</v>
      </c>
      <c r="E39" t="n" s="17">
        <v>3</v>
      </c>
      <c r="F39" t="n" s="16">
        <v>0</v>
      </c>
    </row>
    <row r="40" hidden="0" ht="15" customHeight="1" spans="1:1">
      <c r="A40" t="str" s="15">
        <f>HYPERLINK("https://amazon.com/dp/B08WPD7LDZ", "B08WPD7LDZ")</f>
      </c>
      <c r="B40" t="s">
        <v>44</v>
      </c>
      <c r="C40" t="n" s="16">
        <v>112265.56</v>
      </c>
      <c r="D40" t="n" s="17">
        <v>8</v>
      </c>
      <c r="E40" t="n" s="17">
        <v>0</v>
      </c>
      <c r="F40" t="n" s="16">
        <v>0</v>
      </c>
    </row>
    <row r="41" hidden="0" ht="15" customHeight="1" spans="1:1">
      <c r="A41" t="str" s="15">
        <f>HYPERLINK("https://amazon.com/dp/B07TW8RZV8", "B07TW8RZV8")</f>
      </c>
      <c r="B41" t="s">
        <v>45</v>
      </c>
      <c r="C41" t="n" s="16">
        <v>110320.93</v>
      </c>
      <c r="D41" t="n" s="17">
        <v>29</v>
      </c>
      <c r="E41" t="n" s="17">
        <v>2</v>
      </c>
      <c r="F41" t="n" s="16">
        <v>0</v>
      </c>
    </row>
    <row r="42" hidden="0" ht="15" customHeight="1" spans="1:1">
      <c r="A42" t="str" s="15">
        <f>HYPERLINK("https://amazon.com/dp/B0CMCWXPFX", "B0CMCWXPFX")</f>
      </c>
      <c r="B42" t="s">
        <v>46</v>
      </c>
      <c r="C42" t="n" s="16">
        <v>107245</v>
      </c>
      <c r="D42" t="n" s="17">
        <v>34</v>
      </c>
      <c r="E42" t="n" s="17">
        <v>2</v>
      </c>
      <c r="F42" t="n" s="16">
        <v>0</v>
      </c>
    </row>
    <row r="43" hidden="0" ht="15" customHeight="1" spans="1:1">
      <c r="A43" t="str" s="15">
        <f>HYPERLINK("https://amazon.com/dp/B0FXJ739JQ", "B0FXJ739JQ")</f>
      </c>
      <c r="B43" t="s">
        <v>47</v>
      </c>
      <c r="C43" t="n" s="16">
        <v>106230.09</v>
      </c>
      <c r="D43" t="n" s="17">
        <v>27</v>
      </c>
      <c r="E43" t="n" s="17">
        <v>2</v>
      </c>
      <c r="F43" t="n" s="16">
        <v>0</v>
      </c>
    </row>
    <row r="44" hidden="0" ht="15" customHeight="1" spans="1:1">
      <c r="A44" t="str" s="15">
        <f>HYPERLINK("https://amazon.com/dp/B0B1M6Z25X", "B0B1M6Z25X")</f>
      </c>
      <c r="B44" t="s">
        <v>48</v>
      </c>
      <c r="C44" t="n" s="16">
        <v>105937.4</v>
      </c>
      <c r="D44" t="n" s="17">
        <v>74</v>
      </c>
      <c r="E44" t="n" s="17">
        <v>8</v>
      </c>
      <c r="F44" t="n" s="16">
        <v>0</v>
      </c>
    </row>
    <row r="45" hidden="0" ht="15" customHeight="1" spans="1:1">
      <c r="A45" t="str" s="15">
        <f>HYPERLINK("https://amazon.com/dp/B00A0VCJPI", "B00A0VCJPI")</f>
      </c>
      <c r="B45" t="s">
        <v>49</v>
      </c>
      <c r="C45" t="n" s="16">
        <v>102706.42</v>
      </c>
      <c r="D45" t="n" s="17">
        <v>169</v>
      </c>
      <c r="E45" t="n" s="17">
        <v>20</v>
      </c>
      <c r="F45" t="n" s="16">
        <v>0</v>
      </c>
    </row>
    <row r="46" hidden="0" ht="15" customHeight="1" spans="1:1">
      <c r="A46" t="str" s="15">
        <f>HYPERLINK("https://amazon.com/dp/B0BVKZDF98", "B0BVKZDF98")</f>
      </c>
      <c r="B46" t="s">
        <v>50</v>
      </c>
      <c r="C46" t="n" s="16">
        <v>101890.82</v>
      </c>
      <c r="D46" t="n" s="17">
        <v>31</v>
      </c>
      <c r="E46" t="n" s="17">
        <v>2</v>
      </c>
      <c r="F46" t="n" s="16">
        <v>0</v>
      </c>
    </row>
    <row r="47" hidden="0" ht="15" customHeight="1" spans="1:1">
      <c r="A47" t="str" s="15">
        <f>HYPERLINK("https://amazon.com/dp/B0CQYKYBJ5", "B0CQYKYBJ5")</f>
      </c>
      <c r="B47" t="s">
        <v>51</v>
      </c>
      <c r="C47" t="n" s="16">
        <v>100883.94</v>
      </c>
      <c r="D47" t="n" s="17">
        <v>67</v>
      </c>
      <c r="E47" t="n" s="17">
        <v>9</v>
      </c>
      <c r="F47" t="n" s="16">
        <v>0</v>
      </c>
    </row>
    <row r="48" hidden="0" ht="15" customHeight="1" spans="1:1">
      <c r="A48" t="str" s="15">
        <f>HYPERLINK("https://amazon.com/dp/B08XNLZLJ3", "B08XNLZLJ3")</f>
      </c>
      <c r="B48" t="s">
        <v>52</v>
      </c>
      <c r="C48" t="n" s="16">
        <v>100712.51</v>
      </c>
      <c r="D48" t="n" s="17">
        <v>32</v>
      </c>
      <c r="E48" t="n" s="17">
        <v>2</v>
      </c>
      <c r="F48" t="n" s="16">
        <v>0</v>
      </c>
    </row>
    <row r="49" hidden="0" ht="15" customHeight="1" spans="1:1">
      <c r="A49" t="str" s="15">
        <f>HYPERLINK("https://amazon.com/dp/B0DCZY52K3", "B0DCZY52K3")</f>
      </c>
      <c r="B49" t="s">
        <v>53</v>
      </c>
      <c r="C49" t="n" s="16">
        <v>96858.48</v>
      </c>
      <c r="D49" t="n" s="17">
        <v>70</v>
      </c>
      <c r="E49" t="n" s="17">
        <v>6</v>
      </c>
      <c r="F49" t="n" s="16">
        <v>0</v>
      </c>
    </row>
    <row r="50" hidden="0" ht="15" customHeight="1" spans="1:1">
      <c r="A50" t="str" s="15">
        <f>HYPERLINK("https://amazon.com/dp/B0GVTV9TDS", "B0GVTV9TDS")</f>
      </c>
      <c r="B50" t="s">
        <v>54</v>
      </c>
      <c r="C50" t="n" s="16">
        <v>95388.85</v>
      </c>
      <c r="D50" t="n" s="17">
        <v>44</v>
      </c>
      <c r="E50" t="n" s="17">
        <v>2</v>
      </c>
      <c r="F50" t="n" s="16">
        <v>0</v>
      </c>
    </row>
    <row r="51" hidden="0" ht="15" customHeight="1" spans="1:1">
      <c r="A51" t="str" s="15">
        <f>HYPERLINK("https://amazon.com/dp/B0C3CYL7LR", "B0C3CYL7LR")</f>
      </c>
      <c r="B51" t="s">
        <v>55</v>
      </c>
      <c r="C51" t="n" s="16">
        <v>90837.75</v>
      </c>
      <c r="D51" t="n" s="17">
        <v>12</v>
      </c>
      <c r="E51" t="n" s="17">
        <v>0</v>
      </c>
      <c r="F51" t="n" s="16">
        <v>0</v>
      </c>
    </row>
    <row r="52" hidden="0" ht="15" customHeight="1" spans="1:1">
      <c r="A52" t="str" s="15">
        <f>HYPERLINK("https://amazon.com/dp/B098K3H92Z", "B098K3H92Z")</f>
      </c>
      <c r="B52" t="s">
        <v>56</v>
      </c>
      <c r="C52" t="n" s="16">
        <v>86364.82</v>
      </c>
      <c r="D52" t="n" s="17">
        <v>252</v>
      </c>
      <c r="E52" t="n" s="17">
        <v>11</v>
      </c>
      <c r="F52" t="n" s="16">
        <v>0</v>
      </c>
    </row>
    <row r="53" hidden="0" ht="15" customHeight="1" spans="1:1">
      <c r="A53" t="str" s="15">
        <f>HYPERLINK("https://amazon.com/dp/B0D5BBZGFR", "B0D5BBZGFR")</f>
      </c>
      <c r="B53" t="s">
        <v>57</v>
      </c>
      <c r="C53" t="n" s="16">
        <v>85886.49</v>
      </c>
      <c r="D53" t="n" s="17">
        <v>38</v>
      </c>
      <c r="E53" t="n" s="17">
        <v>0</v>
      </c>
      <c r="F53" t="n" s="16">
        <v>0</v>
      </c>
    </row>
    <row r="54" hidden="0" ht="15" customHeight="1" spans="1:1">
      <c r="A54" t="str" s="15">
        <f>HYPERLINK("https://amazon.com/dp/B09X3FTL7F", "B09X3FTL7F")</f>
      </c>
      <c r="B54" t="s">
        <v>58</v>
      </c>
      <c r="C54" t="n" s="16">
        <v>85773.87</v>
      </c>
      <c r="D54" t="n" s="17">
        <v>69</v>
      </c>
      <c r="E54" t="n" s="17">
        <v>3</v>
      </c>
      <c r="F54" t="n" s="16">
        <v>0</v>
      </c>
    </row>
    <row r="55" hidden="0" ht="15" customHeight="1" spans="1:1">
      <c r="A55" t="str" s="15">
        <f>HYPERLINK("https://amazon.com/dp/B0FZJWWB72", "B0FZJWWB72")</f>
      </c>
      <c r="B55" t="s">
        <v>59</v>
      </c>
      <c r="C55" t="n" s="16">
        <v>84558</v>
      </c>
      <c r="D55" t="n" s="17">
        <v>21</v>
      </c>
      <c r="E55" t="n" s="17">
        <v>2</v>
      </c>
      <c r="F55" t="n" s="16">
        <v>0</v>
      </c>
    </row>
    <row r="56" hidden="0" ht="15" customHeight="1" spans="1:1">
      <c r="A56" t="str" s="15">
        <f>HYPERLINK("https://amazon.com/dp/B0722XW4PD", "B0722XW4PD")</f>
      </c>
      <c r="B56" t="s">
        <v>60</v>
      </c>
      <c r="C56" t="n" s="16">
        <v>84215.88</v>
      </c>
      <c r="D56" t="n" s="17">
        <v>21</v>
      </c>
      <c r="E56" t="n" s="17">
        <v>0</v>
      </c>
      <c r="F56" t="n" s="16">
        <v>0</v>
      </c>
    </row>
    <row r="57" hidden="0" ht="15" customHeight="1" spans="1:1">
      <c r="A57" t="str" s="15">
        <f>HYPERLINK("https://amazon.com/dp/B0DNSMY4NL", "B0DNSMY4NL")</f>
      </c>
      <c r="B57" t="s">
        <v>61</v>
      </c>
      <c r="C57" t="n" s="16">
        <v>83552.93</v>
      </c>
      <c r="D57" t="n" s="17">
        <v>143</v>
      </c>
      <c r="E57" t="n" s="17">
        <v>2</v>
      </c>
      <c r="F57" t="n" s="16">
        <v>0</v>
      </c>
    </row>
    <row r="58" hidden="0" ht="15" customHeight="1" spans="1:1">
      <c r="A58" t="str" s="15">
        <f>HYPERLINK("https://amazon.com/dp/B08R6H6931", "B08R6H6931")</f>
      </c>
      <c r="B58" t="s">
        <v>62</v>
      </c>
      <c r="C58" t="n" s="16">
        <v>80593.3</v>
      </c>
      <c r="D58" t="n" s="17">
        <v>31</v>
      </c>
      <c r="E58" t="n" s="17">
        <v>7</v>
      </c>
      <c r="F58" t="n" s="16">
        <v>0</v>
      </c>
    </row>
    <row r="59" hidden="0" ht="15" customHeight="1" spans="1:1">
      <c r="A59" t="str" s="15">
        <f>HYPERLINK("https://amazon.com/dp/B0741FFT6F", "B0741FFT6F")</f>
      </c>
      <c r="B59" t="s">
        <v>63</v>
      </c>
      <c r="C59" t="n" s="16">
        <v>77657.37</v>
      </c>
      <c r="D59" t="n" s="17">
        <v>35</v>
      </c>
      <c r="E59" t="n" s="17">
        <v>2</v>
      </c>
      <c r="F59" t="n" s="16">
        <v>0</v>
      </c>
    </row>
    <row r="60" hidden="0" ht="15" customHeight="1" spans="1:1">
      <c r="A60" t="str" s="15">
        <f>HYPERLINK("https://amazon.com/dp/B0GVNXN5SJ", "B0GVNXN5SJ")</f>
      </c>
      <c r="B60" t="s">
        <v>64</v>
      </c>
      <c r="C60" t="n" s="16">
        <v>75592.59</v>
      </c>
      <c r="D60" t="n" s="17">
        <v>11</v>
      </c>
      <c r="E60" t="n" s="17">
        <v>3</v>
      </c>
      <c r="F60" t="n" s="16">
        <v>0</v>
      </c>
    </row>
    <row r="61" hidden="0" ht="15" customHeight="1" spans="1:1">
      <c r="A61" t="str" s="15">
        <f>HYPERLINK("https://amazon.com/dp/B00PIBBWSK", "B00PIBBWSK")</f>
      </c>
      <c r="B61" t="s">
        <v>65</v>
      </c>
      <c r="C61" t="n" s="16">
        <v>75146.81</v>
      </c>
      <c r="D61" t="n" s="17">
        <v>28</v>
      </c>
      <c r="E61" t="n" s="17">
        <v>2</v>
      </c>
      <c r="F61" t="n" s="16">
        <v>0</v>
      </c>
    </row>
    <row r="62" hidden="0" ht="15" customHeight="1" spans="1:1">
      <c r="A62" t="str" s="15">
        <f>HYPERLINK("https://amazon.com/dp/B01MD1SKLL", "B01MD1SKLL")</f>
      </c>
      <c r="B62" t="s">
        <v>66</v>
      </c>
      <c r="C62" t="n" s="16">
        <v>75064.69</v>
      </c>
      <c r="D62" t="n" s="17">
        <v>69</v>
      </c>
      <c r="E62" t="n" s="17">
        <v>7</v>
      </c>
      <c r="F62" t="n" s="16">
        <v>0</v>
      </c>
    </row>
    <row r="63" hidden="0" ht="15" customHeight="1" spans="1:1">
      <c r="A63" t="str" s="15">
        <f>HYPERLINK("https://amazon.com/dp/B0C4SSQGV3", "B0C4SSQGV3")</f>
      </c>
      <c r="B63" t="s">
        <v>67</v>
      </c>
      <c r="C63" t="n" s="16">
        <v>73816.6</v>
      </c>
      <c r="D63" t="n" s="17">
        <v>20</v>
      </c>
      <c r="E63" t="n" s="17">
        <v>0</v>
      </c>
      <c r="F63" t="n" s="16">
        <v>0</v>
      </c>
    </row>
    <row r="64" hidden="0" ht="15" customHeight="1" spans="1:1">
      <c r="A64" t="str" s="15">
        <f>HYPERLINK("https://amazon.com/dp/B0BWRXZZC8", "B0BWRXZZC8")</f>
      </c>
      <c r="B64" t="s">
        <v>68</v>
      </c>
      <c r="C64" t="n" s="16">
        <v>73290.61</v>
      </c>
      <c r="D64" t="n" s="17">
        <v>65</v>
      </c>
      <c r="E64" t="n" s="17">
        <v>3</v>
      </c>
      <c r="F64" t="n" s="16">
        <v>0</v>
      </c>
    </row>
    <row r="65" hidden="0" ht="15" customHeight="1" spans="1:1">
      <c r="A65" t="str" s="15">
        <f>HYPERLINK("https://amazon.com/dp/B08FYB5HHK", "B08FYB5HHK")</f>
      </c>
      <c r="B65" t="s">
        <v>69</v>
      </c>
      <c r="C65" t="n" s="16">
        <v>73084.92</v>
      </c>
      <c r="D65" t="n" s="17">
        <v>119</v>
      </c>
      <c r="E65" t="n" s="17">
        <v>9</v>
      </c>
      <c r="F65" t="n" s="16">
        <v>0</v>
      </c>
    </row>
    <row r="66" hidden="0" ht="15" customHeight="1" spans="1:1">
      <c r="A66" t="str" s="15">
        <f>HYPERLINK("https://amazon.com/dp/B08P94H63W", "B08P94H63W")</f>
      </c>
      <c r="B66" t="s">
        <v>70</v>
      </c>
      <c r="C66" t="n" s="16">
        <v>72067.12</v>
      </c>
      <c r="D66" t="n" s="17">
        <v>15</v>
      </c>
      <c r="E66" t="n" s="17">
        <v>2</v>
      </c>
      <c r="F66" t="n" s="16">
        <v>0</v>
      </c>
    </row>
    <row r="67" hidden="0" ht="15" customHeight="1" spans="1:1">
      <c r="A67" t="str" s="15">
        <f>HYPERLINK("https://amazon.com/dp/B00V4BGD00", "B00V4BGD00")</f>
      </c>
      <c r="B67" t="s">
        <v>71</v>
      </c>
      <c r="C67" t="n" s="16">
        <v>72054.99</v>
      </c>
      <c r="D67" t="n" s="17">
        <v>172</v>
      </c>
      <c r="E67" t="n" s="17">
        <v>4</v>
      </c>
      <c r="F67" t="n" s="16">
        <v>0</v>
      </c>
    </row>
    <row r="68" hidden="0" ht="15" customHeight="1" spans="1:1">
      <c r="A68" t="str" s="15">
        <f>HYPERLINK("https://amazon.com/dp/B00EYW1U68", "B00EYW1U68")</f>
      </c>
      <c r="B68" t="s">
        <v>72</v>
      </c>
      <c r="C68" t="n" s="16">
        <v>71477.02</v>
      </c>
      <c r="D68" t="n" s="17">
        <v>113</v>
      </c>
      <c r="E68" t="n" s="17">
        <v>5</v>
      </c>
      <c r="F68" t="n" s="16">
        <v>0</v>
      </c>
    </row>
    <row r="69" hidden="0" ht="15" customHeight="1" spans="1:1">
      <c r="A69" t="str" s="15">
        <f>HYPERLINK("https://amazon.com/dp/B0859M539M", "B0859M539M")</f>
      </c>
      <c r="B69" t="s">
        <v>73</v>
      </c>
      <c r="C69" t="n" s="16">
        <v>69264.21</v>
      </c>
      <c r="D69" t="n" s="17">
        <v>95</v>
      </c>
      <c r="E69" t="n" s="17">
        <v>10</v>
      </c>
      <c r="F69" t="n" s="16">
        <v>0</v>
      </c>
    </row>
    <row r="70" hidden="0" ht="15" customHeight="1" spans="1:1">
      <c r="A70" t="str" s="15">
        <f>HYPERLINK("https://amazon.com/dp/B0D6W44CSR", "B0D6W44CSR")</f>
      </c>
      <c r="B70" t="s">
        <v>74</v>
      </c>
      <c r="C70" t="n" s="16">
        <v>68152.68</v>
      </c>
      <c r="D70" t="n" s="17">
        <v>17</v>
      </c>
      <c r="E70" t="n" s="17">
        <v>1</v>
      </c>
      <c r="F70" t="n" s="16">
        <v>0</v>
      </c>
    </row>
    <row r="71" hidden="0" ht="15" customHeight="1" spans="1:1">
      <c r="A71" t="str" s="15">
        <f>HYPERLINK("https://amazon.com/dp/B00JKB63D8", "B00JKB63D8")</f>
      </c>
      <c r="B71" t="s">
        <v>75</v>
      </c>
      <c r="C71" t="n" s="16">
        <v>67995.99</v>
      </c>
      <c r="D71" t="n" s="17">
        <v>66</v>
      </c>
      <c r="E71" t="n" s="17">
        <v>1</v>
      </c>
      <c r="F71" t="n" s="16">
        <v>0</v>
      </c>
    </row>
    <row r="72" hidden="0" ht="15" customHeight="1" spans="1:1">
      <c r="A72" t="str" s="15">
        <f>HYPERLINK("https://amazon.com/dp/B00A128S24", "B00A128S24")</f>
      </c>
      <c r="B72" t="s">
        <v>76</v>
      </c>
      <c r="C72" t="n" s="16">
        <v>67078.14</v>
      </c>
      <c r="D72" t="n" s="17">
        <v>105</v>
      </c>
      <c r="E72" t="n" s="17">
        <v>2</v>
      </c>
      <c r="F72" t="n" s="16">
        <v>0</v>
      </c>
    </row>
    <row r="73" hidden="0" ht="15" customHeight="1" spans="1:1">
      <c r="A73" t="str" s="15">
        <f>HYPERLINK("https://amazon.com/dp/B08WQ16H4N", "B08WQ16H4N")</f>
      </c>
      <c r="B73" t="s">
        <v>77</v>
      </c>
      <c r="C73" t="n" s="16">
        <v>65945.19</v>
      </c>
      <c r="D73" t="n" s="17">
        <v>21</v>
      </c>
      <c r="E73" t="n" s="17">
        <v>1</v>
      </c>
      <c r="F73" t="n" s="16">
        <v>0</v>
      </c>
    </row>
    <row r="74" hidden="0" ht="15" customHeight="1" spans="1:1">
      <c r="A74" t="str" s="15">
        <f>HYPERLINK("https://amazon.com/dp/B0DHY8HXYG", "B0DHY8HXYG")</f>
      </c>
      <c r="B74" t="s">
        <v>78</v>
      </c>
      <c r="C74" t="n" s="16">
        <v>65788.93</v>
      </c>
      <c r="D74" t="n" s="17">
        <v>20</v>
      </c>
      <c r="E74" t="n" s="17">
        <v>1</v>
      </c>
      <c r="F74" t="n" s="16">
        <v>0</v>
      </c>
    </row>
    <row r="75" hidden="0" ht="15" customHeight="1" spans="1:1">
      <c r="A75" t="str" s="15">
        <f>HYPERLINK("https://amazon.com/dp/B0FLQ4LTMF", "B0FLQ4LTMF")</f>
      </c>
      <c r="B75" t="s">
        <v>79</v>
      </c>
      <c r="C75" t="n" s="16">
        <v>65759.13</v>
      </c>
      <c r="D75" t="n" s="17">
        <v>29</v>
      </c>
      <c r="E75" t="n" s="17">
        <v>2</v>
      </c>
      <c r="F75" t="n" s="16">
        <v>0</v>
      </c>
    </row>
    <row r="76" hidden="0" ht="15" customHeight="1" spans="1:1">
      <c r="A76" t="str" s="15">
        <f>HYPERLINK("https://amazon.com/dp/B0DSVS49TZ", "B0DSVS49TZ")</f>
      </c>
      <c r="B76" t="s">
        <v>80</v>
      </c>
      <c r="C76" t="n" s="16">
        <v>65467.42</v>
      </c>
      <c r="D76" t="n" s="17">
        <v>67</v>
      </c>
      <c r="E76" t="n" s="17">
        <v>2</v>
      </c>
      <c r="F76" t="n" s="16">
        <v>0</v>
      </c>
    </row>
    <row r="77" hidden="0" ht="15" customHeight="1" spans="1:1">
      <c r="A77" t="str" s="15">
        <f>HYPERLINK("https://amazon.com/dp/B00V4BGDKU", "B00V4BGDKU")</f>
      </c>
      <c r="B77" t="s">
        <v>81</v>
      </c>
      <c r="C77" t="n" s="16">
        <v>64836.46</v>
      </c>
      <c r="D77" t="n" s="17">
        <v>135</v>
      </c>
      <c r="E77" t="n" s="17">
        <v>10</v>
      </c>
      <c r="F77" t="n" s="16">
        <v>0</v>
      </c>
    </row>
    <row r="78" hidden="0" ht="15" customHeight="1" spans="1:1">
      <c r="A78" t="str" s="15">
        <f>HYPERLINK("https://amazon.com/dp/B00KXULGJQ", "B00KXULGJQ")</f>
      </c>
      <c r="B78" t="s">
        <v>82</v>
      </c>
      <c r="C78" t="n" s="16">
        <v>63983.74</v>
      </c>
      <c r="D78" t="n" s="17">
        <v>72</v>
      </c>
      <c r="E78" t="n" s="17">
        <v>2</v>
      </c>
      <c r="F78" t="n" s="16">
        <v>0</v>
      </c>
    </row>
    <row r="79" hidden="0" ht="15" customHeight="1" spans="1:1">
      <c r="A79" t="str" s="15">
        <f>HYPERLINK("https://amazon.com/dp/B0FZTH4BBZ", "B0FZTH4BBZ")</f>
      </c>
      <c r="B79" t="s">
        <v>83</v>
      </c>
      <c r="C79" t="n" s="16">
        <v>63306.96</v>
      </c>
      <c r="D79" t="n" s="17">
        <v>36</v>
      </c>
      <c r="E79" t="n" s="17">
        <v>1</v>
      </c>
      <c r="F79" t="n" s="16">
        <v>0</v>
      </c>
    </row>
    <row r="80" hidden="0" ht="15" customHeight="1" spans="1:1">
      <c r="A80" t="str" s="15">
        <f>HYPERLINK("https://amazon.com/dp/B09FDRMZ73", "B09FDRMZ73")</f>
      </c>
      <c r="B80" t="s">
        <v>84</v>
      </c>
      <c r="C80" t="n" s="16">
        <v>61782.5</v>
      </c>
      <c r="D80" t="n" s="17">
        <v>135</v>
      </c>
      <c r="E80" t="n" s="17">
        <v>10</v>
      </c>
      <c r="F80" t="n" s="16">
        <v>0</v>
      </c>
    </row>
    <row r="81" hidden="0" ht="15" customHeight="1" spans="1:1">
      <c r="A81" t="str" s="15">
        <f>HYPERLINK("https://amazon.com/dp/B07VC68RW1", "B07VC68RW1")</f>
      </c>
      <c r="B81" t="s">
        <v>85</v>
      </c>
      <c r="C81" t="n" s="16">
        <v>61736.14</v>
      </c>
      <c r="D81" t="n" s="17">
        <v>129</v>
      </c>
      <c r="E81" t="n" s="17">
        <v>3</v>
      </c>
      <c r="F81" t="n" s="16">
        <v>0</v>
      </c>
    </row>
    <row r="82" hidden="0" ht="15" customHeight="1" spans="1:1">
      <c r="A82" t="str" s="15">
        <f>HYPERLINK("https://amazon.com/dp/B0F5B8SFRF", "B0F5B8SFRF")</f>
      </c>
      <c r="B82" t="s">
        <v>86</v>
      </c>
      <c r="C82" t="n" s="16">
        <v>59527.22</v>
      </c>
      <c r="D82" t="n" s="17">
        <v>147</v>
      </c>
      <c r="E82" t="n" s="17">
        <v>5</v>
      </c>
      <c r="F82" t="n" s="16">
        <v>0</v>
      </c>
    </row>
    <row r="83" hidden="0" ht="15" customHeight="1" spans="1:1">
      <c r="A83" t="str" s="15">
        <f>HYPERLINK("https://amazon.com/dp/B0CB8Q3X4N", "B0CB8Q3X4N")</f>
      </c>
      <c r="B83" t="s">
        <v>87</v>
      </c>
      <c r="C83" t="n" s="16">
        <v>57791.76</v>
      </c>
      <c r="D83" t="n" s="17">
        <v>78</v>
      </c>
      <c r="E83" t="n" s="17">
        <v>0</v>
      </c>
      <c r="F83" t="n" s="16">
        <v>0</v>
      </c>
    </row>
    <row r="84" hidden="0" ht="15" customHeight="1" spans="1:1">
      <c r="A84" t="str" s="15">
        <f>HYPERLINK("https://amazon.com/dp/B00ADW9R22", "B00ADW9R22")</f>
      </c>
      <c r="B84" t="s">
        <v>88</v>
      </c>
      <c r="C84" t="n" s="16">
        <v>56858.16</v>
      </c>
      <c r="D84" t="n" s="17">
        <v>30</v>
      </c>
      <c r="E84" t="n" s="17">
        <v>5</v>
      </c>
      <c r="F84" t="n" s="16">
        <v>0</v>
      </c>
    </row>
    <row r="85" hidden="0" ht="15" customHeight="1" spans="1:1">
      <c r="A85" t="str" s="15">
        <f>HYPERLINK("https://amazon.com/dp/B0CHFFKF4F", "B0CHFFKF4F")</f>
      </c>
      <c r="B85" t="s">
        <v>89</v>
      </c>
      <c r="C85" t="n" s="16">
        <v>55209.89</v>
      </c>
      <c r="D85" t="n" s="17">
        <v>52</v>
      </c>
      <c r="E85" t="n" s="17">
        <v>0</v>
      </c>
      <c r="F85" t="n" s="16">
        <v>0</v>
      </c>
    </row>
    <row r="86" hidden="0" ht="15" customHeight="1" spans="1:1">
      <c r="A86" t="str" s="15">
        <f>HYPERLINK("https://amazon.com/dp/B0F19KCGPK", "B0F19KCGPK")</f>
      </c>
      <c r="B86" t="s">
        <v>90</v>
      </c>
      <c r="C86" t="n" s="16">
        <v>54733.12</v>
      </c>
      <c r="D86" t="n" s="17">
        <v>20</v>
      </c>
      <c r="E86" t="n" s="17">
        <v>1</v>
      </c>
      <c r="F86" t="n" s="16">
        <v>0</v>
      </c>
    </row>
    <row r="87" hidden="0" ht="15" customHeight="1" spans="1:1">
      <c r="A87" t="str" s="15">
        <f>HYPERLINK("https://amazon.com/dp/B0DCZWWTP9", "B0DCZWWTP9")</f>
      </c>
      <c r="B87" t="s">
        <v>91</v>
      </c>
      <c r="C87" t="n" s="16">
        <v>54292.08</v>
      </c>
      <c r="D87" t="n" s="17">
        <v>22</v>
      </c>
      <c r="E87" t="n" s="17">
        <v>0</v>
      </c>
      <c r="F87" t="n" s="16">
        <v>0</v>
      </c>
    </row>
    <row r="88" hidden="0" ht="15" customHeight="1" spans="1:1">
      <c r="A88" t="str" s="15">
        <f>HYPERLINK("https://amazon.com/dp/B0CJJ712ZX", "B0CJJ712ZX")</f>
      </c>
      <c r="B88" t="s">
        <v>92</v>
      </c>
      <c r="C88" t="n" s="16">
        <v>54255.2</v>
      </c>
      <c r="D88" t="n" s="17">
        <v>8</v>
      </c>
      <c r="E88" t="n" s="17">
        <v>2</v>
      </c>
      <c r="F88" t="n" s="16">
        <v>0</v>
      </c>
    </row>
    <row r="89" hidden="0" ht="15" customHeight="1" spans="1:1">
      <c r="A89" t="str" s="15">
        <f>HYPERLINK("https://amazon.com/dp/B07GBK9CQL", "B07GBK9CQL")</f>
      </c>
      <c r="B89" t="s">
        <v>93</v>
      </c>
      <c r="C89" t="n" s="16">
        <v>52789.36</v>
      </c>
      <c r="D89" t="n" s="17">
        <v>13</v>
      </c>
      <c r="E89" t="n" s="17">
        <v>3</v>
      </c>
      <c r="F89" t="n" s="16">
        <v>0</v>
      </c>
    </row>
    <row r="90" hidden="0" ht="15" customHeight="1" spans="1:1">
      <c r="A90" t="str" s="15">
        <f>HYPERLINK("https://amazon.com/dp/B00A0VBPLM", "B00A0VBPLM")</f>
      </c>
      <c r="B90" t="s">
        <v>94</v>
      </c>
      <c r="C90" t="n" s="16">
        <v>50419.15</v>
      </c>
      <c r="D90" t="n" s="17">
        <v>37</v>
      </c>
      <c r="E90" t="n" s="17">
        <v>5</v>
      </c>
      <c r="F90" t="n" s="16">
        <v>0</v>
      </c>
    </row>
    <row r="91" hidden="0" ht="15" customHeight="1" spans="1:1">
      <c r="A91" t="str" s="15">
        <f>HYPERLINK("https://amazon.com/dp/B0BQTYHKF2", "B0BQTYHKF2")</f>
      </c>
      <c r="B91" t="s">
        <v>95</v>
      </c>
      <c r="C91" t="n" s="16">
        <v>49069.17</v>
      </c>
      <c r="D91" t="n" s="17">
        <v>4</v>
      </c>
      <c r="E91" t="n" s="17">
        <v>0</v>
      </c>
      <c r="F91" t="n" s="16">
        <v>0</v>
      </c>
    </row>
    <row r="92" hidden="0" ht="15" customHeight="1" spans="1:1">
      <c r="A92" t="str" s="15">
        <f>HYPERLINK("https://amazon.com/dp/B0DHJHMHFS", "B0DHJHMHFS")</f>
      </c>
      <c r="B92" t="s">
        <v>96</v>
      </c>
      <c r="C92" t="n" s="16">
        <v>45007.4</v>
      </c>
      <c r="D92" t="n" s="17">
        <v>115</v>
      </c>
      <c r="E92" t="n" s="17">
        <v>11</v>
      </c>
      <c r="F92" t="n" s="16">
        <v>0</v>
      </c>
    </row>
    <row r="93" hidden="0" ht="15" customHeight="1" spans="1:1">
      <c r="A93" t="str" s="15">
        <f>HYPERLINK("https://amazon.com/dp/B0CKPRGP82", "B0CKPRGP82")</f>
      </c>
      <c r="B93" t="s">
        <v>97</v>
      </c>
      <c r="C93" t="n" s="16">
        <v>44961.39</v>
      </c>
      <c r="D93" t="n" s="17">
        <v>24</v>
      </c>
      <c r="E93" t="n" s="17">
        <v>2</v>
      </c>
      <c r="F93" t="n" s="16">
        <v>0</v>
      </c>
    </row>
    <row r="94" hidden="0" ht="15" customHeight="1" spans="1:1">
      <c r="A94" t="str" s="15">
        <f>HYPERLINK("https://amazon.com/dp/B07P681N66", "B07P681N66")</f>
      </c>
      <c r="B94" t="s">
        <v>98</v>
      </c>
      <c r="C94" t="n" s="16">
        <v>44598.83</v>
      </c>
      <c r="D94" t="n" s="17">
        <v>77</v>
      </c>
      <c r="E94" t="n" s="17">
        <v>3</v>
      </c>
      <c r="F94" t="n" s="16">
        <v>0</v>
      </c>
    </row>
    <row r="95" hidden="0" ht="15" customHeight="1" spans="1:1">
      <c r="A95" t="str" s="15">
        <f>HYPERLINK("https://amazon.com/dp/B01MY5JIJ0", "B01MY5JIJ0")</f>
      </c>
      <c r="B95" t="s">
        <v>99</v>
      </c>
      <c r="C95" t="n" s="16">
        <v>44547.78</v>
      </c>
      <c r="D95" t="n" s="17">
        <v>38</v>
      </c>
      <c r="E95" t="n" s="17">
        <v>6</v>
      </c>
      <c r="F95" t="n" s="16">
        <v>0</v>
      </c>
    </row>
    <row r="96" hidden="0" ht="15" customHeight="1" spans="1:1">
      <c r="A96" t="str" s="15">
        <f>HYPERLINK("https://amazon.com/dp/B0C3XLCD3X", "B0C3XLCD3X")</f>
      </c>
      <c r="B96" t="s">
        <v>100</v>
      </c>
      <c r="C96" t="n" s="16">
        <v>43379.19</v>
      </c>
      <c r="D96" t="n" s="17">
        <v>7</v>
      </c>
      <c r="E96" t="n" s="17">
        <v>0</v>
      </c>
      <c r="F96" t="n" s="16">
        <v>0</v>
      </c>
    </row>
    <row r="97" hidden="0" ht="15" customHeight="1" spans="1:1">
      <c r="A97" t="str" s="15">
        <f>HYPERLINK("https://amazon.com/dp/B0G57S2RRR", "B0G57S2RRR")</f>
      </c>
      <c r="B97" t="s">
        <v>101</v>
      </c>
      <c r="C97" t="n" s="16">
        <v>43307.49</v>
      </c>
      <c r="D97" t="n" s="17">
        <v>31</v>
      </c>
      <c r="E97" t="n" s="17">
        <v>0</v>
      </c>
      <c r="F97" t="n" s="16">
        <v>0</v>
      </c>
    </row>
    <row r="98" hidden="0" ht="15" customHeight="1" spans="1:1">
      <c r="A98" t="str" s="15">
        <f>HYPERLINK("https://amazon.com/dp/B07RPVQY62", "B07RPVQY62")</f>
      </c>
      <c r="B98" t="s">
        <v>102</v>
      </c>
      <c r="C98" t="n" s="16">
        <v>42284.44</v>
      </c>
      <c r="D98" t="n" s="17">
        <v>80</v>
      </c>
      <c r="E98" t="n" s="17">
        <v>4</v>
      </c>
      <c r="F98" t="n" s="16">
        <v>0</v>
      </c>
    </row>
    <row r="99" hidden="0" ht="15" customHeight="1" spans="1:1">
      <c r="A99" t="str" s="15">
        <f>HYPERLINK("https://amazon.com/dp/B00OO47F0G", "B00OO47F0G")</f>
      </c>
      <c r="B99" t="s">
        <v>103</v>
      </c>
      <c r="C99" t="n" s="16">
        <v>42247.07</v>
      </c>
      <c r="D99" t="n" s="17">
        <v>33</v>
      </c>
      <c r="E99" t="n" s="17">
        <v>4</v>
      </c>
      <c r="F99" t="n" s="16">
        <v>0</v>
      </c>
    </row>
    <row r="100" hidden="0" ht="15" customHeight="1" spans="1:1">
      <c r="A100" t="str" s="15">
        <f>HYPERLINK("https://amazon.com/dp/B0DQXSRGQ4", "B0DQXSRGQ4")</f>
      </c>
      <c r="B100" t="s">
        <v>104</v>
      </c>
      <c r="C100" t="n" s="16">
        <v>41351.74</v>
      </c>
      <c r="D100" t="n" s="17">
        <v>66</v>
      </c>
      <c r="E100" t="n" s="17">
        <v>7</v>
      </c>
      <c r="F100" t="n" s="16">
        <v>0</v>
      </c>
    </row>
    <row r="101" hidden="0" ht="15" customHeight="1" spans="1:1">
      <c r="A101" t="str" s="15">
        <f>HYPERLINK("https://amazon.com/dp/B014VB4N4M", "B014VB4N4M")</f>
      </c>
      <c r="B101" t="s">
        <v>105</v>
      </c>
      <c r="C101" t="n" s="16">
        <v>40793.29</v>
      </c>
      <c r="D101" t="n" s="17">
        <v>19</v>
      </c>
      <c r="E101" t="n" s="17">
        <v>1</v>
      </c>
      <c r="F101" t="n" s="16">
        <v>0</v>
      </c>
    </row>
    <row r="102" hidden="0" ht="15" customHeight="1" spans="1:1">
      <c r="A102" t="str" s="15">
        <f>HYPERLINK("https://amazon.com/dp/B07FXXCWQ6", "B07FXXCWQ6")</f>
      </c>
      <c r="B102" t="s">
        <v>106</v>
      </c>
      <c r="C102" t="n" s="16">
        <v>40751.58</v>
      </c>
      <c r="D102" t="n" s="17">
        <v>19</v>
      </c>
      <c r="E102" t="n" s="17">
        <v>0</v>
      </c>
      <c r="F102" t="n" s="16">
        <v>0</v>
      </c>
    </row>
    <row r="103" hidden="0" ht="15" customHeight="1" spans="1:1">
      <c r="A103" t="str" s="15">
        <f>HYPERLINK("https://amazon.com/dp/B0DFFPYNC7", "B0DFFPYNC7")</f>
      </c>
      <c r="B103" t="s">
        <v>107</v>
      </c>
      <c r="C103" t="n" s="16">
        <v>40120.69</v>
      </c>
      <c r="D103" t="n" s="17">
        <v>20</v>
      </c>
      <c r="E103" t="n" s="17">
        <v>1</v>
      </c>
      <c r="F103" t="n" s="16">
        <v>0</v>
      </c>
    </row>
    <row r="104" hidden="0" ht="15" customHeight="1" spans="1:1">
      <c r="A104" t="str" s="15">
        <f>HYPERLINK("https://amazon.com/dp/B08WPWWM8W", "B08WPWWM8W")</f>
      </c>
      <c r="B104" t="s">
        <v>108</v>
      </c>
      <c r="C104" t="n" s="16">
        <v>39401.08</v>
      </c>
      <c r="D104" t="n" s="17">
        <v>4</v>
      </c>
      <c r="E104" t="n" s="17">
        <v>0</v>
      </c>
      <c r="F104" t="n" s="16">
        <v>0</v>
      </c>
    </row>
    <row r="105" hidden="0" ht="15" customHeight="1" spans="1:1">
      <c r="A105" t="str" s="15">
        <f>HYPERLINK("https://amazon.com/dp/B07TP62GWK", "B07TP62GWK")</f>
      </c>
      <c r="B105" t="s">
        <v>109</v>
      </c>
      <c r="C105" t="n" s="16">
        <v>38955.51</v>
      </c>
      <c r="D105" t="n" s="17">
        <v>33</v>
      </c>
      <c r="E105" t="n" s="17">
        <v>15</v>
      </c>
      <c r="F105" t="n" s="16">
        <v>0</v>
      </c>
    </row>
    <row r="106" hidden="0" ht="15" customHeight="1" spans="1:1">
      <c r="A106" t="str" s="15">
        <f>HYPERLINK("https://amazon.com/dp/B0CTGP557X", "B0CTGP557X")</f>
      </c>
      <c r="B106" t="s">
        <v>110</v>
      </c>
      <c r="C106" t="n" s="16">
        <v>36015.03</v>
      </c>
      <c r="D106" t="n" s="17">
        <v>28</v>
      </c>
      <c r="E106" t="n" s="17">
        <v>3</v>
      </c>
      <c r="F106" t="n" s="16">
        <v>0</v>
      </c>
    </row>
    <row r="107" hidden="0" ht="15" customHeight="1" spans="1:1">
      <c r="A107" t="str" s="15">
        <f>HYPERLINK("https://amazon.com/dp/B0CKPSJ523", "B0CKPSJ523")</f>
      </c>
      <c r="B107" t="s">
        <v>111</v>
      </c>
      <c r="C107" t="n" s="16">
        <v>35575</v>
      </c>
      <c r="D107" t="n" s="17">
        <v>10</v>
      </c>
      <c r="E107" t="n" s="17">
        <v>0</v>
      </c>
      <c r="F107" t="n" s="16">
        <v>0</v>
      </c>
    </row>
    <row r="108" hidden="0" ht="15" customHeight="1" spans="1:1">
      <c r="A108" t="str" s="15">
        <f>HYPERLINK("https://amazon.com/dp/B0CKPSXFMJ", "B0CKPSXFMJ")</f>
      </c>
      <c r="B108" t="s">
        <v>112</v>
      </c>
      <c r="C108" t="n" s="16">
        <v>35527.62</v>
      </c>
      <c r="D108" t="n" s="17">
        <v>47</v>
      </c>
      <c r="E108" t="n" s="17">
        <v>5</v>
      </c>
      <c r="F108" t="n" s="16">
        <v>0</v>
      </c>
    </row>
    <row r="109" hidden="0" ht="15" customHeight="1" spans="1:1">
      <c r="A109" t="str" s="15">
        <f>HYPERLINK("https://amazon.com/dp/B0CFFD1SZ1", "B0CFFD1SZ1")</f>
      </c>
      <c r="B109" t="s">
        <v>113</v>
      </c>
      <c r="C109" t="n" s="16">
        <v>35272.09</v>
      </c>
      <c r="D109" t="n" s="17">
        <v>38</v>
      </c>
      <c r="E109" t="n" s="17">
        <v>6</v>
      </c>
      <c r="F109" t="n" s="16">
        <v>0</v>
      </c>
    </row>
    <row r="110" hidden="0" ht="15" customHeight="1" spans="1:1">
      <c r="A110" t="str" s="15">
        <f>HYPERLINK("https://amazon.com/dp/B0F1BXSRJC", "B0F1BXSRJC")</f>
      </c>
      <c r="B110" t="s">
        <v>114</v>
      </c>
      <c r="C110" t="n" s="16">
        <v>34710.4</v>
      </c>
      <c r="D110" t="n" s="17">
        <v>19</v>
      </c>
      <c r="E110" t="n" s="17">
        <v>5</v>
      </c>
      <c r="F110" t="n" s="16">
        <v>0</v>
      </c>
    </row>
    <row r="111" hidden="0" ht="15" customHeight="1" spans="1:1">
      <c r="A111" t="str" s="15">
        <f>HYPERLINK("https://amazon.com/dp/B0D7GXQQ4N", "B0D7GXQQ4N")</f>
      </c>
      <c r="B111" t="s">
        <v>115</v>
      </c>
      <c r="C111" t="n" s="16">
        <v>34063.2</v>
      </c>
      <c r="D111" t="n" s="17">
        <v>180</v>
      </c>
      <c r="E111" t="n" s="17">
        <v>4</v>
      </c>
      <c r="F111" t="n" s="16">
        <v>0</v>
      </c>
    </row>
    <row r="112" hidden="0" ht="15" customHeight="1" spans="1:1">
      <c r="A112" t="str" s="15">
        <f>HYPERLINK("https://amazon.com/dp/B08JLR2751", "B08JLR2751")</f>
      </c>
      <c r="B112" t="s">
        <v>116</v>
      </c>
      <c r="C112" t="n" s="16">
        <v>33788.57</v>
      </c>
      <c r="D112" t="n" s="17">
        <v>25</v>
      </c>
      <c r="E112" t="n" s="17">
        <v>0</v>
      </c>
      <c r="F112" t="n" s="16">
        <v>0</v>
      </c>
    </row>
    <row r="113" hidden="0" ht="15" customHeight="1" spans="1:1">
      <c r="A113" t="str" s="15">
        <f>HYPERLINK("https://amazon.com/dp/B087ML9XMX", "B087ML9XMX")</f>
      </c>
      <c r="B113" t="s">
        <v>117</v>
      </c>
      <c r="C113" t="n" s="16">
        <v>32626.5</v>
      </c>
      <c r="D113" t="n" s="17">
        <v>23</v>
      </c>
      <c r="E113" t="n" s="17">
        <v>4</v>
      </c>
      <c r="F113" t="n" s="16">
        <v>0</v>
      </c>
    </row>
    <row r="114" hidden="0" ht="15" customHeight="1" spans="1:1">
      <c r="A114" t="str" s="15">
        <f>HYPERLINK("https://amazon.com/dp/B0CKPSLJ5S", "B0CKPSLJ5S")</f>
      </c>
      <c r="B114" t="s">
        <v>118</v>
      </c>
      <c r="C114" t="n" s="16">
        <v>31764.81</v>
      </c>
      <c r="D114" t="n" s="17">
        <v>3</v>
      </c>
      <c r="E114" t="n" s="17">
        <v>0</v>
      </c>
      <c r="F114" t="n" s="16">
        <v>0</v>
      </c>
    </row>
    <row r="115" hidden="0" ht="15" customHeight="1" spans="1:1">
      <c r="A115" t="str" s="15">
        <f>HYPERLINK("https://amazon.com/dp/B0FQN7QDFC", "B0FQN7QDFC")</f>
      </c>
      <c r="B115" t="s">
        <v>119</v>
      </c>
      <c r="C115" t="n" s="16">
        <v>31719.12</v>
      </c>
      <c r="D115" t="n" s="17">
        <v>50</v>
      </c>
      <c r="E115" t="n" s="17">
        <v>2</v>
      </c>
      <c r="F115" t="n" s="16">
        <v>0</v>
      </c>
    </row>
    <row r="116" hidden="0" ht="15" customHeight="1" spans="1:1">
      <c r="A116" t="str" s="15">
        <f>HYPERLINK("https://amazon.com/dp/B0BTSQ3RC1", "B0BTSQ3RC1")</f>
      </c>
      <c r="B116" t="s">
        <v>120</v>
      </c>
      <c r="C116" t="n" s="16">
        <v>31706.73</v>
      </c>
      <c r="D116" t="n" s="17">
        <v>6</v>
      </c>
      <c r="E116" t="n" s="17">
        <v>1</v>
      </c>
      <c r="F116" t="n" s="16">
        <v>0</v>
      </c>
    </row>
    <row r="117" hidden="0" ht="15" customHeight="1" spans="1:1">
      <c r="A117" t="str" s="15">
        <f>HYPERLINK("https://amazon.com/dp/B0BPYPK2QC", "B0BPYPK2QC")</f>
      </c>
      <c r="B117" t="s">
        <v>121</v>
      </c>
      <c r="C117" t="n" s="16">
        <v>31428.62</v>
      </c>
      <c r="D117" t="n" s="17">
        <v>21</v>
      </c>
      <c r="E117" t="n" s="17">
        <v>1</v>
      </c>
      <c r="F117" t="n" s="16">
        <v>0</v>
      </c>
    </row>
    <row r="118" hidden="0" ht="15" customHeight="1" spans="1:1">
      <c r="A118" t="str" s="15">
        <f>HYPERLINK("https://amazon.com/dp/B0DJH27B1Q", "B0DJH27B1Q")</f>
      </c>
      <c r="B118" t="s">
        <v>122</v>
      </c>
      <c r="C118" t="n" s="16">
        <v>31154.72</v>
      </c>
      <c r="D118" t="n" s="17">
        <v>19</v>
      </c>
      <c r="E118" t="n" s="17">
        <v>0</v>
      </c>
      <c r="F118" t="n" s="16">
        <v>0</v>
      </c>
    </row>
    <row r="119" hidden="0" ht="15" customHeight="1" spans="1:1">
      <c r="A119" t="str" s="15">
        <f>HYPERLINK("https://amazon.com/dp/B0CRQXSGCH", "B0CRQXSGCH")</f>
      </c>
      <c r="B119" t="s">
        <v>123</v>
      </c>
      <c r="C119" t="n" s="16">
        <v>30866.67</v>
      </c>
      <c r="D119" t="n" s="17">
        <v>10</v>
      </c>
      <c r="E119" t="n" s="17">
        <v>0</v>
      </c>
      <c r="F119" t="n" s="16">
        <v>0</v>
      </c>
    </row>
    <row r="120" hidden="0" ht="15" customHeight="1" spans="1:1">
      <c r="A120" t="str" s="15">
        <f>HYPERLINK("https://amazon.com/dp/B0F1R6P8KW", "B0F1R6P8KW")</f>
      </c>
      <c r="B120" t="s">
        <v>124</v>
      </c>
      <c r="C120" t="n" s="16">
        <v>30679.39</v>
      </c>
      <c r="D120" t="n" s="17">
        <v>15</v>
      </c>
      <c r="E120" t="n" s="17">
        <v>1</v>
      </c>
      <c r="F120" t="n" s="16">
        <v>0</v>
      </c>
    </row>
    <row r="121" hidden="0" ht="15" customHeight="1" spans="1:1">
      <c r="A121" t="str" s="15">
        <f>HYPERLINK("https://amazon.com/dp/B00YU23DI0", "B00YU23DI0")</f>
      </c>
      <c r="B121" t="s">
        <v>125</v>
      </c>
      <c r="C121" t="n" s="16">
        <v>29962.35</v>
      </c>
      <c r="D121" t="n" s="17">
        <v>45</v>
      </c>
      <c r="E121" t="n" s="17">
        <v>0</v>
      </c>
      <c r="F121" t="n" s="16">
        <v>0</v>
      </c>
    </row>
    <row r="122" hidden="0" ht="15" customHeight="1" spans="1:1">
      <c r="A122" t="str" s="15">
        <f>HYPERLINK("https://amazon.com/dp/B08GDC61NS", "B08GDC61NS")</f>
      </c>
      <c r="B122" t="s">
        <v>126</v>
      </c>
      <c r="C122" t="n" s="16">
        <v>29684.2</v>
      </c>
      <c r="D122" t="n" s="17">
        <v>19</v>
      </c>
      <c r="E122" t="n" s="17">
        <v>1</v>
      </c>
      <c r="F122" t="n" s="16">
        <v>0</v>
      </c>
    </row>
    <row r="123" hidden="0" ht="15" customHeight="1" spans="1:1">
      <c r="A123" t="str" s="15">
        <f>HYPERLINK("https://amazon.com/dp/B0CKPVC9DM", "B0CKPVC9DM")</f>
      </c>
      <c r="B123" t="s">
        <v>127</v>
      </c>
      <c r="C123" t="n" s="16">
        <v>28579.17</v>
      </c>
      <c r="D123" t="n" s="17">
        <v>5</v>
      </c>
      <c r="E123" t="n" s="17">
        <v>0</v>
      </c>
      <c r="F123" t="n" s="16">
        <v>0</v>
      </c>
    </row>
    <row r="124" hidden="0" ht="15" customHeight="1" spans="1:1">
      <c r="A124" t="str" s="15">
        <f>HYPERLINK("https://amazon.com/dp/B0DPZNFKBL", "B0DPZNFKBL")</f>
      </c>
      <c r="B124" t="s">
        <v>128</v>
      </c>
      <c r="C124" t="n" s="16">
        <v>28522.64</v>
      </c>
      <c r="D124" t="n" s="17">
        <v>48</v>
      </c>
      <c r="E124" t="n" s="17">
        <v>4</v>
      </c>
      <c r="F124" t="n" s="16">
        <v>0</v>
      </c>
    </row>
    <row r="125" hidden="0" ht="15" customHeight="1" spans="1:1">
      <c r="A125" t="str" s="15">
        <f>HYPERLINK("https://amazon.com/dp/B0GVZ756RC", "B0GVZ756RC")</f>
      </c>
      <c r="B125" t="s">
        <v>129</v>
      </c>
      <c r="C125" t="n" s="16">
        <v>28431.93</v>
      </c>
      <c r="D125" t="n" s="17">
        <v>18</v>
      </c>
      <c r="E125" t="n" s="17">
        <v>0</v>
      </c>
      <c r="F125" t="n" s="16">
        <v>0</v>
      </c>
    </row>
    <row r="126" hidden="0" ht="15" customHeight="1" spans="1:1">
      <c r="A126" t="str" s="15">
        <f>HYPERLINK("https://amazon.com/dp/B0DNYZQ5GS", "B0DNYZQ5GS")</f>
      </c>
      <c r="B126" t="s">
        <v>130</v>
      </c>
      <c r="C126" t="n" s="16">
        <v>26507.19</v>
      </c>
      <c r="D126" t="n" s="17">
        <v>26</v>
      </c>
      <c r="E126" t="n" s="17">
        <v>5</v>
      </c>
      <c r="F126" t="n" s="16">
        <v>0</v>
      </c>
    </row>
    <row r="127" hidden="0" ht="15" customHeight="1" spans="1:1">
      <c r="A127" t="str" s="15">
        <f>HYPERLINK("https://amazon.com/dp/B08BS3SHZV", "B08BS3SHZV")</f>
      </c>
      <c r="B127" t="s">
        <v>131</v>
      </c>
      <c r="C127" t="n" s="16">
        <v>26493.99</v>
      </c>
      <c r="D127" t="n" s="17">
        <v>17</v>
      </c>
      <c r="E127" t="n" s="17">
        <v>2</v>
      </c>
      <c r="F127" t="n" s="16">
        <v>0</v>
      </c>
    </row>
    <row r="128" hidden="0" ht="15" customHeight="1" spans="1:1">
      <c r="A128" t="str" s="15">
        <f>HYPERLINK("https://amazon.com/dp/B0F674XQJR", "B0F674XQJR")</f>
      </c>
      <c r="B128" t="s">
        <v>132</v>
      </c>
      <c r="C128" t="n" s="16">
        <v>26136.98</v>
      </c>
      <c r="D128" t="n" s="17">
        <v>20</v>
      </c>
      <c r="E128" t="n" s="17">
        <v>2</v>
      </c>
      <c r="F128" t="n" s="16">
        <v>0</v>
      </c>
    </row>
    <row r="129" hidden="0" ht="15" customHeight="1" spans="1:1">
      <c r="A129" t="str" s="15">
        <f>HYPERLINK("https://amazon.com/dp/B00N0OHEMA", "B00N0OHEMA")</f>
      </c>
      <c r="B129" t="s">
        <v>133</v>
      </c>
      <c r="C129" t="n" s="16">
        <v>25562.08</v>
      </c>
      <c r="D129" t="n" s="17">
        <v>35</v>
      </c>
      <c r="E129" t="n" s="17">
        <v>2</v>
      </c>
      <c r="F129" t="n" s="16">
        <v>0</v>
      </c>
    </row>
    <row r="130" hidden="0" ht="15" customHeight="1" spans="1:1">
      <c r="A130" t="str" s="15">
        <f>HYPERLINK("https://amazon.com/dp/B0D9LZTDLR", "B0D9LZTDLR")</f>
      </c>
      <c r="B130" t="s">
        <v>134</v>
      </c>
      <c r="C130" t="n" s="16">
        <v>25304.82</v>
      </c>
      <c r="D130" t="n" s="17">
        <v>13</v>
      </c>
      <c r="E130" t="n" s="17">
        <v>1</v>
      </c>
      <c r="F130" t="n" s="16">
        <v>0</v>
      </c>
    </row>
    <row r="131" hidden="0" ht="15" customHeight="1" spans="1:1">
      <c r="A131" t="str" s="15">
        <f>HYPERLINK("https://amazon.com/dp/B07B52MSXK", "B07B52MSXK")</f>
      </c>
      <c r="B131" t="s">
        <v>135</v>
      </c>
      <c r="C131" t="n" s="16">
        <v>24642.63</v>
      </c>
      <c r="D131" t="n" s="17">
        <v>9</v>
      </c>
      <c r="E131" t="n" s="17">
        <v>0</v>
      </c>
      <c r="F131" t="n" s="16">
        <v>0</v>
      </c>
    </row>
    <row r="132" hidden="0" ht="15" customHeight="1" spans="1:1">
      <c r="A132" t="str" s="15">
        <f>HYPERLINK("https://amazon.com/dp/B0DP4N2J9L", "B0DP4N2J9L")</f>
      </c>
      <c r="B132" t="s">
        <v>136</v>
      </c>
      <c r="C132" t="n" s="16">
        <v>23482.97</v>
      </c>
      <c r="D132" t="n" s="17">
        <v>20</v>
      </c>
      <c r="E132" t="n" s="17">
        <v>1</v>
      </c>
      <c r="F132" t="n" s="16">
        <v>0</v>
      </c>
    </row>
    <row r="133" hidden="0" ht="15" customHeight="1" spans="1:1">
      <c r="A133" t="str" s="15">
        <f>HYPERLINK("https://amazon.com/dp/B0DQTLDKD2", "B0DQTLDKD2")</f>
      </c>
      <c r="B133" t="s">
        <v>137</v>
      </c>
      <c r="C133" t="n" s="16">
        <v>22790.73</v>
      </c>
      <c r="D133" t="n" s="17">
        <v>28</v>
      </c>
      <c r="E133" t="n" s="17">
        <v>1</v>
      </c>
      <c r="F133" t="n" s="16">
        <v>0</v>
      </c>
    </row>
    <row r="134" hidden="0" ht="15" customHeight="1" spans="1:1">
      <c r="A134" t="str" s="15">
        <f>HYPERLINK("https://amazon.com/dp/B0GVTH4693", "B0GVTH4693")</f>
      </c>
      <c r="B134" t="s">
        <v>138</v>
      </c>
      <c r="C134" t="n" s="16">
        <v>22752.18</v>
      </c>
      <c r="D134" t="n" s="17">
        <v>9</v>
      </c>
      <c r="E134" t="n" s="17">
        <v>0</v>
      </c>
      <c r="F134" t="n" s="16">
        <v>0</v>
      </c>
    </row>
    <row r="135" hidden="0" ht="15" customHeight="1" spans="1:1">
      <c r="A135" t="str" s="15">
        <f>HYPERLINK("https://amazon.com/dp/B00YMTNVEM", "B00YMTNVEM")</f>
      </c>
      <c r="B135" t="s">
        <v>139</v>
      </c>
      <c r="C135" t="n" s="16">
        <v>22701.27</v>
      </c>
      <c r="D135" t="n" s="17">
        <v>51</v>
      </c>
      <c r="E135" t="n" s="17">
        <v>0</v>
      </c>
      <c r="F135" t="n" s="16">
        <v>0</v>
      </c>
    </row>
    <row r="136" hidden="0" ht="15" customHeight="1" spans="1:1">
      <c r="A136" t="str" s="15">
        <f>HYPERLINK("https://amazon.com/dp/B0GB766JQD", "B0GB766JQD")</f>
      </c>
      <c r="B136" t="s">
        <v>140</v>
      </c>
      <c r="C136" t="n" s="16">
        <v>22676.94</v>
      </c>
      <c r="D136" t="n" s="17">
        <v>22</v>
      </c>
      <c r="E136" t="n" s="17">
        <v>0</v>
      </c>
      <c r="F136" t="n" s="16">
        <v>0</v>
      </c>
    </row>
    <row r="137" hidden="0" ht="15" customHeight="1" spans="1:1">
      <c r="A137" t="str" s="15">
        <f>HYPERLINK("https://amazon.com/dp/B00K11UIV4", "B00K11UIV4")</f>
      </c>
      <c r="B137" t="s">
        <v>141</v>
      </c>
      <c r="C137" t="n" s="16">
        <v>22233.87</v>
      </c>
      <c r="D137" t="n" s="17">
        <v>45</v>
      </c>
      <c r="E137" t="n" s="17">
        <v>2</v>
      </c>
      <c r="F137" t="n" s="16">
        <v>0</v>
      </c>
    </row>
    <row r="138" hidden="0" ht="15" customHeight="1" spans="1:1">
      <c r="A138" t="str" s="15">
        <f>HYPERLINK("https://amazon.com/dp/B0DNMLCGLJ", "B0DNMLCGLJ")</f>
      </c>
      <c r="B138" t="s">
        <v>142</v>
      </c>
      <c r="C138" t="n" s="16">
        <v>22050.7</v>
      </c>
      <c r="D138" t="n" s="17">
        <v>13</v>
      </c>
      <c r="E138" t="n" s="17">
        <v>1</v>
      </c>
      <c r="F138" t="n" s="16">
        <v>0</v>
      </c>
    </row>
    <row r="139" hidden="0" ht="15" customHeight="1" spans="1:1">
      <c r="A139" t="str" s="15">
        <f>HYPERLINK("https://amazon.com/dp/B06ZZV414V", "B06ZZV414V")</f>
      </c>
      <c r="B139" t="s">
        <v>143</v>
      </c>
      <c r="C139" t="n" s="16">
        <v>21323.89</v>
      </c>
      <c r="D139" t="n" s="17">
        <v>13</v>
      </c>
      <c r="E139" t="n" s="17">
        <v>3</v>
      </c>
      <c r="F139" t="n" s="16">
        <v>0</v>
      </c>
    </row>
    <row r="140" hidden="0" ht="15" customHeight="1" spans="1:1">
      <c r="A140" t="str" s="15">
        <f>HYPERLINK("https://amazon.com/dp/B0FJM88BTG", "B0FJM88BTG")</f>
      </c>
      <c r="B140" t="s">
        <v>144</v>
      </c>
      <c r="C140" t="n" s="16">
        <v>21100.51</v>
      </c>
      <c r="D140" t="n" s="17">
        <v>6</v>
      </c>
      <c r="E140" t="n" s="17">
        <v>1</v>
      </c>
      <c r="F140" t="n" s="16">
        <v>0</v>
      </c>
    </row>
    <row r="141" hidden="0" ht="15" customHeight="1" spans="1:1">
      <c r="A141" t="str" s="15">
        <f>HYPERLINK("https://amazon.com/dp/B0F1CF97SC", "B0F1CF97SC")</f>
      </c>
      <c r="B141" t="s">
        <v>145</v>
      </c>
      <c r="C141" t="n" s="16">
        <v>19541.42</v>
      </c>
      <c r="D141" t="n" s="17">
        <v>18</v>
      </c>
      <c r="E141" t="n" s="17">
        <v>1</v>
      </c>
      <c r="F141" t="n" s="16">
        <v>0</v>
      </c>
    </row>
    <row r="142" hidden="0" ht="15" customHeight="1" spans="1:1">
      <c r="A142" t="str" s="15">
        <f>HYPERLINK("https://amazon.com/dp/B0F1RHG41W", "B0F1RHG41W")</f>
      </c>
      <c r="B142" t="s">
        <v>146</v>
      </c>
      <c r="C142" t="n" s="16">
        <v>19448.43</v>
      </c>
      <c r="D142" t="n" s="17">
        <v>7</v>
      </c>
      <c r="E142" t="n" s="17">
        <v>0</v>
      </c>
      <c r="F142" t="n" s="16">
        <v>0</v>
      </c>
    </row>
    <row r="143" hidden="0" ht="15" customHeight="1" spans="1:1">
      <c r="A143" t="str" s="15">
        <f>HYPERLINK("https://amazon.com/dp/B00DBRPKS6", "B00DBRPKS6")</f>
      </c>
      <c r="B143" t="s">
        <v>147</v>
      </c>
      <c r="C143" t="n" s="16">
        <v>18193.09</v>
      </c>
      <c r="D143" t="n" s="17">
        <v>7</v>
      </c>
      <c r="E143" t="n" s="17">
        <v>0</v>
      </c>
      <c r="F143" t="n" s="16">
        <v>0</v>
      </c>
    </row>
    <row r="144" hidden="0" ht="15" customHeight="1" spans="1:1">
      <c r="A144" t="str" s="15">
        <f>HYPERLINK("https://amazon.com/dp/B0BDXT2R9F", "B0BDXT2R9F")</f>
      </c>
      <c r="B144" t="s">
        <v>148</v>
      </c>
      <c r="C144" t="n" s="16">
        <v>17980.08</v>
      </c>
      <c r="D144" t="n" s="17">
        <v>24</v>
      </c>
      <c r="E144" t="n" s="17">
        <v>4</v>
      </c>
      <c r="F144" t="n" s="16">
        <v>0</v>
      </c>
    </row>
    <row r="145" hidden="0" ht="15" customHeight="1" spans="1:1">
      <c r="A145" t="str" s="15">
        <f>HYPERLINK("https://amazon.com/dp/B08MH4VLR3", "B08MH4VLR3")</f>
      </c>
      <c r="B145" t="s">
        <v>149</v>
      </c>
      <c r="C145" t="n" s="16">
        <v>17956.53</v>
      </c>
      <c r="D145" t="n" s="17">
        <v>9</v>
      </c>
      <c r="E145" t="n" s="17">
        <v>0</v>
      </c>
      <c r="F145" t="n" s="16">
        <v>0</v>
      </c>
    </row>
    <row r="146" hidden="0" ht="15" customHeight="1" spans="1:1">
      <c r="A146" t="str" s="15">
        <f>HYPERLINK("https://amazon.com/dp/B0G83J1Y9M", "B0G83J1Y9M")</f>
      </c>
      <c r="B146" t="s">
        <v>150</v>
      </c>
      <c r="C146" t="n" s="16">
        <v>17943.81</v>
      </c>
      <c r="D146" t="n" s="17">
        <v>15</v>
      </c>
      <c r="E146" t="n" s="17">
        <v>0</v>
      </c>
      <c r="F146" t="n" s="16">
        <v>0</v>
      </c>
    </row>
    <row r="147" hidden="0" ht="15" customHeight="1" spans="1:1">
      <c r="A147" t="str" s="15">
        <f>HYPERLINK("https://amazon.com/dp/B0FGXQQMKW", "B0FGXQQMKW")</f>
      </c>
      <c r="B147" t="s">
        <v>151</v>
      </c>
      <c r="C147" t="n" s="16">
        <v>17693.55</v>
      </c>
      <c r="D147" t="n" s="17">
        <v>3</v>
      </c>
      <c r="E147" t="n" s="17">
        <v>4</v>
      </c>
      <c r="F147" t="n" s="16">
        <v>0</v>
      </c>
    </row>
    <row r="148" hidden="0" ht="15" customHeight="1" spans="1:1">
      <c r="A148" t="str" s="15">
        <f>HYPERLINK("https://amazon.com/dp/B07M69276N", "B07M69276N")</f>
      </c>
      <c r="B148" t="s">
        <v>152</v>
      </c>
      <c r="C148" t="n" s="16">
        <v>17314.68</v>
      </c>
      <c r="D148" t="n" s="17">
        <v>25</v>
      </c>
      <c r="E148" t="n" s="17">
        <v>1</v>
      </c>
      <c r="F148" t="n" s="16">
        <v>0</v>
      </c>
    </row>
    <row r="149" hidden="0" ht="15" customHeight="1" spans="1:1">
      <c r="A149" t="str" s="15">
        <f>HYPERLINK("https://amazon.com/dp/B0BHW6BX7Y", "B0BHW6BX7Y")</f>
      </c>
      <c r="B149" t="s">
        <v>153</v>
      </c>
      <c r="C149" t="n" s="16">
        <v>17275.26</v>
      </c>
      <c r="D149" t="n" s="17">
        <v>20</v>
      </c>
      <c r="E149" t="n" s="17">
        <v>0</v>
      </c>
      <c r="F149" t="n" s="16">
        <v>0</v>
      </c>
    </row>
    <row r="150" hidden="0" ht="15" customHeight="1" spans="1:1">
      <c r="A150" t="str" s="15">
        <f>HYPERLINK("https://amazon.com/dp/B0BSFFJN93", "B0BSFFJN93")</f>
      </c>
      <c r="B150" t="s">
        <v>154</v>
      </c>
      <c r="C150" t="n" s="16">
        <v>16770.5</v>
      </c>
      <c r="D150" t="n" s="17">
        <v>6</v>
      </c>
      <c r="E150" t="n" s="17">
        <v>0</v>
      </c>
      <c r="F150" t="n" s="16">
        <v>0</v>
      </c>
    </row>
    <row r="151" hidden="0" ht="15" customHeight="1" spans="1:1">
      <c r="A151" t="str" s="15">
        <f>HYPERLINK("https://amazon.com/dp/B0CQD8L8NM", "B0CQD8L8NM")</f>
      </c>
      <c r="B151" t="s">
        <v>155</v>
      </c>
      <c r="C151" t="n" s="16">
        <v>16721.33</v>
      </c>
      <c r="D151" t="n" s="17">
        <v>2</v>
      </c>
      <c r="E151" t="n" s="17">
        <v>0</v>
      </c>
      <c r="F151" t="n" s="16">
        <v>0</v>
      </c>
    </row>
    <row r="152" hidden="0" ht="15" customHeight="1" spans="1:1">
      <c r="A152" t="str" s="15">
        <f>HYPERLINK("https://amazon.com/dp/B008IFXQFU", "B008IFXQFU")</f>
      </c>
      <c r="B152" t="s">
        <v>156</v>
      </c>
      <c r="C152" t="n" s="16">
        <v>16561.79</v>
      </c>
      <c r="D152" t="n" s="17">
        <v>59</v>
      </c>
      <c r="E152" t="n" s="17">
        <v>3</v>
      </c>
      <c r="F152" t="n" s="16">
        <v>0</v>
      </c>
    </row>
    <row r="153" hidden="0" ht="15" customHeight="1" spans="1:1">
      <c r="A153" t="str" s="15">
        <f>HYPERLINK("https://amazon.com/dp/B003CFATNI", "B003CFATNI")</f>
      </c>
      <c r="B153" t="s">
        <v>157</v>
      </c>
      <c r="C153" t="n" s="16">
        <v>16433.12</v>
      </c>
      <c r="D153" t="n" s="17">
        <v>32</v>
      </c>
      <c r="E153" t="n" s="17">
        <v>2</v>
      </c>
      <c r="F153" t="n" s="16">
        <v>0</v>
      </c>
    </row>
    <row r="154" hidden="0" ht="15" customHeight="1" spans="1:1">
      <c r="A154" t="str" s="15">
        <f>HYPERLINK("https://amazon.com/dp/B0BDXQBKQQ", "B0BDXQBKQQ")</f>
      </c>
      <c r="B154" t="s">
        <v>158</v>
      </c>
      <c r="C154" t="n" s="16">
        <v>16279.56</v>
      </c>
      <c r="D154" t="n" s="17">
        <v>25</v>
      </c>
      <c r="E154" t="n" s="17">
        <v>0</v>
      </c>
      <c r="F154" t="n" s="16">
        <v>0</v>
      </c>
    </row>
    <row r="155" hidden="0" ht="15" customHeight="1" spans="1:1">
      <c r="A155" t="str" s="15">
        <f>HYPERLINK("https://amazon.com/dp/B0CS4CN5C2", "B0CS4CN5C2")</f>
      </c>
      <c r="B155" t="s">
        <v>159</v>
      </c>
      <c r="C155" t="n" s="16">
        <v>15933.76</v>
      </c>
      <c r="D155" t="n" s="17">
        <v>14</v>
      </c>
      <c r="E155" t="n" s="17">
        <v>3</v>
      </c>
      <c r="F155" t="n" s="16">
        <v>0</v>
      </c>
    </row>
    <row r="156" hidden="0" ht="15" customHeight="1" spans="1:1">
      <c r="A156" t="str" s="15">
        <f>HYPERLINK("https://amazon.com/dp/B07WRQ9S1B", "B07WRQ9S1B")</f>
      </c>
      <c r="B156" t="s">
        <v>160</v>
      </c>
      <c r="C156" t="n" s="16">
        <v>15906.49</v>
      </c>
      <c r="D156" t="n" s="17">
        <v>8</v>
      </c>
      <c r="E156" t="n" s="17">
        <v>5</v>
      </c>
      <c r="F156" t="n" s="16">
        <v>0</v>
      </c>
    </row>
    <row r="157" hidden="0" ht="15" customHeight="1" spans="1:1">
      <c r="A157" t="str" s="15">
        <f>HYPERLINK("https://amazon.com/dp/B071RSD473", "B071RSD473")</f>
      </c>
      <c r="B157" t="s">
        <v>161</v>
      </c>
      <c r="C157" t="n" s="16">
        <v>15642.11</v>
      </c>
      <c r="D157" t="n" s="17">
        <v>15</v>
      </c>
      <c r="E157" t="n" s="17">
        <v>1</v>
      </c>
      <c r="F157" t="n" s="16">
        <v>0</v>
      </c>
    </row>
    <row r="158" hidden="0" ht="15" customHeight="1" spans="1:1">
      <c r="A158" t="str" s="15">
        <f>HYPERLINK("https://amazon.com/dp/B07VC41CXJ", "B07VC41CXJ")</f>
      </c>
      <c r="B158" t="s">
        <v>162</v>
      </c>
      <c r="C158" t="n" s="16">
        <v>15488.36</v>
      </c>
      <c r="D158" t="n" s="17">
        <v>24</v>
      </c>
      <c r="E158" t="n" s="17">
        <v>0</v>
      </c>
      <c r="F158" t="n" s="16">
        <v>0</v>
      </c>
    </row>
    <row r="159" hidden="0" ht="15" customHeight="1" spans="1:1">
      <c r="A159" t="str" s="15">
        <f>HYPERLINK("https://amazon.com/dp/B075DDZF4R", "B075DDZF4R")</f>
      </c>
      <c r="B159" t="s">
        <v>163</v>
      </c>
      <c r="C159" t="n" s="16">
        <v>15025.37</v>
      </c>
      <c r="D159" t="n" s="17">
        <v>32</v>
      </c>
      <c r="E159" t="n" s="17">
        <v>0</v>
      </c>
      <c r="F159" t="n" s="16">
        <v>0</v>
      </c>
    </row>
    <row r="160" hidden="0" ht="15" customHeight="1" spans="1:1">
      <c r="A160" t="str" s="15">
        <f>HYPERLINK("https://amazon.com/dp/B0CJCJ62RH", "B0CJCJ62RH")</f>
      </c>
      <c r="B160" t="s">
        <v>164</v>
      </c>
      <c r="C160" t="n" s="16">
        <v>14952.16</v>
      </c>
      <c r="D160" t="n" s="17">
        <v>3</v>
      </c>
      <c r="E160" t="n" s="17">
        <v>3</v>
      </c>
      <c r="F160" t="n" s="16">
        <v>0</v>
      </c>
    </row>
    <row r="161" hidden="0" ht="15" customHeight="1" spans="1:1">
      <c r="A161" t="str" s="15">
        <f>HYPERLINK("https://amazon.com/dp/B07HWKWH54", "B07HWKWH54")</f>
      </c>
      <c r="B161" t="s">
        <v>165</v>
      </c>
      <c r="C161" t="n" s="16">
        <v>14679.26</v>
      </c>
      <c r="D161" t="n" s="17">
        <v>8</v>
      </c>
      <c r="E161" t="n" s="17">
        <v>0</v>
      </c>
      <c r="F161" t="n" s="16">
        <v>0</v>
      </c>
    </row>
    <row r="162" hidden="0" ht="15" customHeight="1" spans="1:1">
      <c r="A162" t="str" s="15">
        <f>HYPERLINK("https://amazon.com/dp/B0BXH28CND", "B0BXH28CND")</f>
      </c>
      <c r="B162" t="s">
        <v>166</v>
      </c>
      <c r="C162" t="n" s="16">
        <v>14199.32</v>
      </c>
      <c r="D162" t="n" s="17">
        <v>12</v>
      </c>
      <c r="E162" t="n" s="17">
        <v>2</v>
      </c>
      <c r="F162" t="n" s="16">
        <v>0</v>
      </c>
    </row>
    <row r="163" hidden="0" ht="15" customHeight="1" spans="1:1">
      <c r="A163" t="str" s="15">
        <f>HYPERLINK("https://amazon.com/dp/B0DCZVTZ2P", "B0DCZVTZ2P")</f>
      </c>
      <c r="B163" t="s">
        <v>167</v>
      </c>
      <c r="C163" t="n" s="16">
        <v>14190.31</v>
      </c>
      <c r="D163" t="n" s="17">
        <v>10</v>
      </c>
      <c r="E163" t="n" s="17">
        <v>0</v>
      </c>
      <c r="F163" t="n" s="16">
        <v>0</v>
      </c>
    </row>
    <row r="164" hidden="0" ht="15" customHeight="1" spans="1:1">
      <c r="A164" t="str" s="15">
        <f>HYPERLINK("https://amazon.com/dp/B0BGJJWPWC", "B0BGJJWPWC")</f>
      </c>
      <c r="B164" t="s">
        <v>168</v>
      </c>
      <c r="C164" t="n" s="16">
        <v>13810.82</v>
      </c>
      <c r="D164" t="n" s="17">
        <v>5</v>
      </c>
      <c r="E164" t="n" s="17">
        <v>0</v>
      </c>
      <c r="F164" t="n" s="16">
        <v>0</v>
      </c>
    </row>
    <row r="165" hidden="0" ht="15" customHeight="1" spans="1:1">
      <c r="A165" t="str" s="15">
        <f>HYPERLINK("https://amazon.com/dp/B0DCZWQQW8", "B0DCZWQQW8")</f>
      </c>
      <c r="B165" t="s">
        <v>169</v>
      </c>
      <c r="C165" t="n" s="16">
        <v>13426.04</v>
      </c>
      <c r="D165" t="n" s="17">
        <v>3</v>
      </c>
      <c r="E165" t="n" s="17">
        <v>0</v>
      </c>
      <c r="F165" t="n" s="16">
        <v>0</v>
      </c>
    </row>
    <row r="166" hidden="0" ht="15" customHeight="1" spans="1:1">
      <c r="A166" t="str" s="15">
        <f>HYPERLINK("https://amazon.com/dp/B08W4RMZ8T", "B08W4RMZ8T")</f>
      </c>
      <c r="B166" t="s">
        <v>170</v>
      </c>
      <c r="C166" t="n" s="16">
        <v>13386.02</v>
      </c>
      <c r="D166" t="n" s="17">
        <v>3</v>
      </c>
      <c r="E166" t="n" s="17">
        <v>0</v>
      </c>
      <c r="F166" t="n" s="16">
        <v>0</v>
      </c>
    </row>
    <row r="167" hidden="0" ht="15" customHeight="1" spans="1:1">
      <c r="A167" t="str" s="15">
        <f>HYPERLINK("https://amazon.com/dp/980035980X", "980035980X")</f>
      </c>
      <c r="B167" t="s">
        <v>171</v>
      </c>
      <c r="C167" t="n" s="16">
        <v>12872.88</v>
      </c>
      <c r="D167" t="n" s="17">
        <v>6</v>
      </c>
      <c r="E167" t="n" s="17">
        <v>0</v>
      </c>
      <c r="F167" t="n" s="16">
        <v>0</v>
      </c>
    </row>
    <row r="168" hidden="0" ht="15" customHeight="1" spans="1:1">
      <c r="A168" t="str" s="15">
        <f>HYPERLINK("https://amazon.com/dp/B00N1Q7W8I", "B00N1Q7W8I")</f>
      </c>
      <c r="B168" t="s">
        <v>172</v>
      </c>
      <c r="C168" t="n" s="16">
        <v>12439.98</v>
      </c>
      <c r="D168" t="n" s="17">
        <v>6</v>
      </c>
      <c r="E168" t="n" s="17">
        <v>0</v>
      </c>
      <c r="F168" t="n" s="16">
        <v>0</v>
      </c>
    </row>
    <row r="169" hidden="0" ht="15" customHeight="1" spans="1:1">
      <c r="A169" t="str" s="15">
        <f>HYPERLINK("https://amazon.com/dp/B0F8B3Y9TS", "B0F8B3Y9TS")</f>
      </c>
      <c r="B169" t="s">
        <v>173</v>
      </c>
      <c r="C169" t="n" s="16">
        <v>12205.22</v>
      </c>
      <c r="D169" t="n" s="17">
        <v>2</v>
      </c>
      <c r="E169" t="n" s="17">
        <v>0</v>
      </c>
      <c r="F169" t="n" s="16">
        <v>0</v>
      </c>
    </row>
    <row r="170" hidden="0" ht="15" customHeight="1" spans="1:1">
      <c r="A170" t="str" s="15">
        <f>HYPERLINK("https://amazon.com/dp/B0B1JTHT9J", "B0B1JTHT9J")</f>
      </c>
      <c r="B170" t="s">
        <v>174</v>
      </c>
      <c r="C170" t="n" s="16">
        <v>11614.75</v>
      </c>
      <c r="D170" t="n" s="17">
        <v>5</v>
      </c>
      <c r="E170" t="n" s="17">
        <v>2</v>
      </c>
      <c r="F170" t="n" s="16">
        <v>0</v>
      </c>
    </row>
    <row r="171" hidden="0" ht="15" customHeight="1" spans="1:1">
      <c r="A171" t="str" s="15">
        <f>HYPERLINK("https://amazon.com/dp/B07QWZTG7F", "B07QWZTG7F")</f>
      </c>
      <c r="B171" t="s">
        <v>175</v>
      </c>
      <c r="C171" t="n" s="16">
        <v>11371.93</v>
      </c>
      <c r="D171" t="n" s="17">
        <v>14</v>
      </c>
      <c r="E171" t="n" s="17">
        <v>2</v>
      </c>
      <c r="F171" t="n" s="16">
        <v>0</v>
      </c>
    </row>
    <row r="172" hidden="0" ht="15" customHeight="1" spans="1:1">
      <c r="A172" t="str" s="15">
        <f>HYPERLINK("https://amazon.com/dp/B0CC6NGXZT", "B0CC6NGXZT")</f>
      </c>
      <c r="B172" t="s">
        <v>176</v>
      </c>
      <c r="C172" t="n" s="16">
        <v>11326.64</v>
      </c>
      <c r="D172" t="n" s="17">
        <v>8</v>
      </c>
      <c r="E172" t="n" s="17">
        <v>0</v>
      </c>
      <c r="F172" t="n" s="16">
        <v>0</v>
      </c>
    </row>
    <row r="173" hidden="0" ht="15" customHeight="1" spans="1:1">
      <c r="A173" t="str" s="15">
        <f>HYPERLINK("https://amazon.com/dp/B0FGXT75VK", "B0FGXT75VK")</f>
      </c>
      <c r="B173" t="s">
        <v>177</v>
      </c>
      <c r="C173" t="n" s="16">
        <v>11277.4</v>
      </c>
      <c r="D173" t="n" s="17">
        <v>10</v>
      </c>
      <c r="E173" t="n" s="17">
        <v>0</v>
      </c>
      <c r="F173" t="n" s="16">
        <v>0</v>
      </c>
    </row>
    <row r="174" hidden="0" ht="15" customHeight="1" spans="1:1">
      <c r="A174" t="str" s="15">
        <f>HYPERLINK("https://amazon.com/dp/B0CS6WK6YL", "B0CS6WK6YL")</f>
      </c>
      <c r="B174" t="s">
        <v>178</v>
      </c>
      <c r="C174" t="n" s="16">
        <v>11230.21</v>
      </c>
      <c r="D174" t="n" s="17">
        <v>23</v>
      </c>
      <c r="E174" t="n" s="17">
        <v>1</v>
      </c>
      <c r="F174" t="n" s="16">
        <v>0</v>
      </c>
    </row>
    <row r="175" hidden="0" ht="15" customHeight="1" spans="1:1">
      <c r="A175" t="str" s="15">
        <f>HYPERLINK("https://amazon.com/dp/B0F12GCR4D", "B0F12GCR4D")</f>
      </c>
      <c r="B175" t="s">
        <v>179</v>
      </c>
      <c r="C175" t="n" s="16">
        <v>11210.99</v>
      </c>
      <c r="D175" t="n" s="17">
        <v>7</v>
      </c>
      <c r="E175" t="n" s="17">
        <v>1</v>
      </c>
      <c r="F175" t="n" s="16">
        <v>0</v>
      </c>
    </row>
    <row r="176" hidden="0" ht="15" customHeight="1" spans="1:1">
      <c r="A176" t="str" s="15">
        <f>HYPERLINK("https://amazon.com/dp/B0FGXYMJ6M", "B0FGXYMJ6M")</f>
      </c>
      <c r="B176" t="s">
        <v>180</v>
      </c>
      <c r="C176" t="n" s="16">
        <v>11199.36</v>
      </c>
      <c r="D176" t="n" s="17">
        <v>2</v>
      </c>
      <c r="E176" t="n" s="17">
        <v>0</v>
      </c>
      <c r="F176" t="n" s="16">
        <v>0</v>
      </c>
    </row>
    <row r="177" hidden="0" ht="15" customHeight="1" spans="1:1">
      <c r="A177" t="str" s="15">
        <f>HYPERLINK("https://amazon.com/dp/B0FMR8WHWB", "B0FMR8WHWB")</f>
      </c>
      <c r="B177" t="s">
        <v>181</v>
      </c>
      <c r="C177" t="n" s="16">
        <v>11173.44</v>
      </c>
      <c r="D177" t="n" s="17">
        <v>12</v>
      </c>
      <c r="E177" t="n" s="17">
        <v>0</v>
      </c>
      <c r="F177" t="n" s="16">
        <v>0</v>
      </c>
    </row>
    <row r="178" hidden="0" ht="15" customHeight="1" spans="1:1">
      <c r="A178" t="str" s="15">
        <f>HYPERLINK("https://amazon.com/dp/B001GWSMVU", "B001GWSMVU")</f>
      </c>
      <c r="B178" t="s">
        <v>182</v>
      </c>
      <c r="C178" t="n" s="16">
        <v>11146.39</v>
      </c>
      <c r="D178" t="n" s="17">
        <v>11</v>
      </c>
      <c r="E178" t="n" s="17">
        <v>0</v>
      </c>
      <c r="F178" t="n" s="16">
        <v>0</v>
      </c>
    </row>
    <row r="179" hidden="0" ht="15" customHeight="1" spans="1:1">
      <c r="A179" t="str" s="15">
        <f>HYPERLINK("https://amazon.com/dp/B08VH4Q3NR", "B08VH4Q3NR")</f>
      </c>
      <c r="B179" t="s">
        <v>183</v>
      </c>
      <c r="C179" t="n" s="16">
        <v>11138.66</v>
      </c>
      <c r="D179" t="n" s="17">
        <v>6</v>
      </c>
      <c r="E179" t="n" s="17">
        <v>0</v>
      </c>
      <c r="F179" t="n" s="16">
        <v>0</v>
      </c>
    </row>
    <row r="180" hidden="0" ht="15" customHeight="1" spans="1:1">
      <c r="A180" t="str" s="15">
        <f>HYPERLINK("https://amazon.com/dp/B07CF4CDNM", "B07CF4CDNM")</f>
      </c>
      <c r="B180" t="s">
        <v>184</v>
      </c>
      <c r="C180" t="n" s="16">
        <v>11073.87</v>
      </c>
      <c r="D180" t="n" s="17">
        <v>14</v>
      </c>
      <c r="E180" t="n" s="17">
        <v>1</v>
      </c>
      <c r="F180" t="n" s="16">
        <v>0</v>
      </c>
    </row>
    <row r="181" hidden="0" ht="15" customHeight="1" spans="1:1">
      <c r="A181" t="str" s="15">
        <f>HYPERLINK("https://amazon.com/dp/B094DM9LZQ", "B094DM9LZQ")</f>
      </c>
      <c r="B181" t="s">
        <v>185</v>
      </c>
      <c r="C181" t="n" s="16">
        <v>10940.18</v>
      </c>
      <c r="D181" t="n" s="17">
        <v>10</v>
      </c>
      <c r="E181" t="n" s="17">
        <v>0</v>
      </c>
      <c r="F181" t="n" s="16">
        <v>0</v>
      </c>
    </row>
    <row r="182" hidden="0" ht="15" customHeight="1" spans="1:1">
      <c r="A182" t="str" s="15">
        <f>HYPERLINK("https://amazon.com/dp/B0BQJVKVQR", "B0BQJVKVQR")</f>
      </c>
      <c r="B182" t="s">
        <v>186</v>
      </c>
      <c r="C182" t="n" s="16">
        <v>10900.22</v>
      </c>
      <c r="D182" t="n" s="17">
        <v>7</v>
      </c>
      <c r="E182" t="n" s="17">
        <v>2</v>
      </c>
      <c r="F182" t="n" s="16">
        <v>0</v>
      </c>
    </row>
    <row r="183" hidden="0" ht="15" customHeight="1" spans="1:1">
      <c r="A183" t="str" s="15">
        <f>HYPERLINK("https://amazon.com/dp/B0DJSV2W43", "B0DJSV2W43")</f>
      </c>
      <c r="B183" t="s">
        <v>187</v>
      </c>
      <c r="C183" t="n" s="16">
        <v>10877.59</v>
      </c>
      <c r="D183" t="n" s="17">
        <v>1</v>
      </c>
      <c r="E183" t="n" s="17">
        <v>0</v>
      </c>
      <c r="F183" t="n" s="16">
        <v>0</v>
      </c>
    </row>
    <row r="184" hidden="0" ht="15" customHeight="1" spans="1:1">
      <c r="A184" t="str" s="15">
        <f>HYPERLINK("https://amazon.com/dp/B0073RW6Q4", "B0073RW6Q4")</f>
      </c>
      <c r="B184" t="s">
        <v>188</v>
      </c>
      <c r="C184" t="n" s="16">
        <v>10622.49</v>
      </c>
      <c r="D184" t="n" s="17">
        <v>3</v>
      </c>
      <c r="E184" t="n" s="17">
        <v>0</v>
      </c>
      <c r="F184" t="n" s="16">
        <v>0</v>
      </c>
    </row>
    <row r="185" hidden="0" ht="15" customHeight="1" spans="1:1">
      <c r="A185" t="str" s="15">
        <f>HYPERLINK("https://amazon.com/dp/B0064GOQ5O", "B0064GOQ5O")</f>
      </c>
      <c r="B185" t="s">
        <v>189</v>
      </c>
      <c r="C185" t="n" s="16">
        <v>10600.85</v>
      </c>
      <c r="D185" t="n" s="17">
        <v>7</v>
      </c>
      <c r="E185" t="n" s="17">
        <v>0</v>
      </c>
      <c r="F185" t="n" s="16">
        <v>0</v>
      </c>
    </row>
    <row r="186" hidden="0" ht="15" customHeight="1" spans="1:1">
      <c r="A186" t="str" s="15">
        <f>HYPERLINK("https://amazon.com/dp/B098TVZ6TS", "B098TVZ6TS")</f>
      </c>
      <c r="B186" t="s">
        <v>190</v>
      </c>
      <c r="C186" t="n" s="16">
        <v>10452.51</v>
      </c>
      <c r="D186" t="n" s="17">
        <v>7</v>
      </c>
      <c r="E186" t="n" s="17">
        <v>3</v>
      </c>
      <c r="F186" t="n" s="16">
        <v>0</v>
      </c>
    </row>
    <row r="187" hidden="0" ht="15" customHeight="1" spans="1:1">
      <c r="A187" t="str" s="15">
        <f>HYPERLINK("https://amazon.com/dp/B0CZPVXS75", "B0CZPVXS75")</f>
      </c>
      <c r="B187" t="s">
        <v>191</v>
      </c>
      <c r="C187" t="n" s="16">
        <v>10296.01</v>
      </c>
      <c r="D187" t="n" s="17">
        <v>16</v>
      </c>
      <c r="E187" t="n" s="17">
        <v>1</v>
      </c>
      <c r="F187" t="n" s="16">
        <v>0</v>
      </c>
    </row>
    <row r="188" hidden="0" ht="15" customHeight="1" spans="1:1">
      <c r="A188" t="str" s="15">
        <f>HYPERLINK("https://amazon.com/dp/B0BJQVQ49Q", "B0BJQVQ49Q")</f>
      </c>
      <c r="B188" t="s">
        <v>192</v>
      </c>
      <c r="C188" t="n" s="16">
        <v>10272.49</v>
      </c>
      <c r="D188" t="n" s="17">
        <v>13</v>
      </c>
      <c r="E188" t="n" s="17">
        <v>0</v>
      </c>
      <c r="F188" t="n" s="16">
        <v>0</v>
      </c>
    </row>
    <row r="189" hidden="0" ht="15" customHeight="1" spans="1:1">
      <c r="A189" t="str" s="15">
        <f>HYPERLINK("https://amazon.com/dp/B0GVFHFB8P", "B0GVFHFB8P")</f>
      </c>
      <c r="B189" t="s">
        <v>193</v>
      </c>
      <c r="C189" t="n" s="16">
        <v>10250.5</v>
      </c>
      <c r="D189" t="n" s="17">
        <v>2</v>
      </c>
      <c r="E189" t="n" s="17">
        <v>0</v>
      </c>
      <c r="F189" t="n" s="16">
        <v>0</v>
      </c>
    </row>
    <row r="190" hidden="0" ht="15" customHeight="1" spans="1:1">
      <c r="A190" t="str" s="15">
        <f>HYPERLINK("https://amazon.com/dp/B0873SLW3V", "B0873SLW3V")</f>
      </c>
      <c r="B190" t="s">
        <v>194</v>
      </c>
      <c r="C190" t="n" s="16">
        <v>10196.38</v>
      </c>
      <c r="D190" t="n" s="17">
        <v>14</v>
      </c>
      <c r="E190" t="n" s="17">
        <v>2</v>
      </c>
      <c r="F190" t="n" s="16">
        <v>0</v>
      </c>
    </row>
    <row r="191" hidden="0" ht="15" customHeight="1" spans="1:1">
      <c r="A191" t="str" s="15">
        <f>HYPERLINK("https://amazon.com/dp/B0FC2MCT55", "B0FC2MCT55")</f>
      </c>
      <c r="B191" t="s">
        <v>195</v>
      </c>
      <c r="C191" t="n" s="16">
        <v>10162.92</v>
      </c>
      <c r="D191" t="n" s="17">
        <v>3</v>
      </c>
      <c r="E191" t="n" s="17">
        <v>0</v>
      </c>
      <c r="F191" t="n" s="16">
        <v>0</v>
      </c>
    </row>
    <row r="192" hidden="0" ht="15" customHeight="1" spans="1:1">
      <c r="A192" t="str" s="15">
        <f>HYPERLINK("https://amazon.com/dp/B09SGJRKBW", "B09SGJRKBW")</f>
      </c>
      <c r="B192" t="s">
        <v>196</v>
      </c>
      <c r="C192" t="n" s="16">
        <v>10120.64</v>
      </c>
      <c r="D192" t="n" s="17">
        <v>16</v>
      </c>
      <c r="E192" t="n" s="17">
        <v>2</v>
      </c>
      <c r="F192" t="n" s="16">
        <v>0</v>
      </c>
    </row>
    <row r="193" hidden="0" ht="15" customHeight="1" spans="1:1">
      <c r="A193" t="str" s="15">
        <f>HYPERLINK("https://amazon.com/dp/B0CHFFPZQX", "B0CHFFPZQX")</f>
      </c>
      <c r="B193" t="s">
        <v>197</v>
      </c>
      <c r="C193" t="n" s="16">
        <v>9997.19</v>
      </c>
      <c r="D193" t="n" s="17">
        <v>12</v>
      </c>
      <c r="E193" t="n" s="17">
        <v>4</v>
      </c>
      <c r="F193" t="n" s="16">
        <v>0</v>
      </c>
    </row>
    <row r="194" hidden="0" ht="15" customHeight="1" spans="1:1">
      <c r="A194" t="str" s="15">
        <f>HYPERLINK("https://amazon.com/dp/B0FKN5K2HC", "B0FKN5K2HC")</f>
      </c>
      <c r="B194" t="s">
        <v>198</v>
      </c>
      <c r="C194" t="n" s="16">
        <v>9656.88</v>
      </c>
      <c r="D194" t="n" s="17">
        <v>36</v>
      </c>
      <c r="E194" t="n" s="17">
        <v>1</v>
      </c>
      <c r="F194" t="n" s="16">
        <v>0</v>
      </c>
    </row>
    <row r="195" hidden="0" ht="15" customHeight="1" spans="1:1">
      <c r="A195" t="str" s="15">
        <f>HYPERLINK("https://amazon.com/dp/B0CKXSYYH2", "B0CKXSYYH2")</f>
      </c>
      <c r="B195" t="s">
        <v>199</v>
      </c>
      <c r="C195" t="n" s="16">
        <v>8889.96</v>
      </c>
      <c r="D195" t="n" s="17">
        <v>12</v>
      </c>
      <c r="E195" t="n" s="17">
        <v>0</v>
      </c>
      <c r="F195" t="n" s="16">
        <v>0</v>
      </c>
    </row>
    <row r="196" hidden="0" ht="15" customHeight="1" spans="1:1">
      <c r="A196" t="str" s="15">
        <f>HYPERLINK("https://amazon.com/dp/B000FNFSPY", "B000FNFSPY")</f>
      </c>
      <c r="B196" t="s">
        <v>200</v>
      </c>
      <c r="C196" t="n" s="16">
        <v>8846.02</v>
      </c>
      <c r="D196" t="n" s="17">
        <v>32</v>
      </c>
      <c r="E196" t="n" s="17">
        <v>2</v>
      </c>
      <c r="F196" t="n" s="16">
        <v>0</v>
      </c>
    </row>
    <row r="197" hidden="0" ht="15" customHeight="1" spans="1:1">
      <c r="A197" t="str" s="15">
        <f>HYPERLINK("https://amazon.com/dp/B0FG2MD49G", "B0FG2MD49G")</f>
      </c>
      <c r="B197" t="s">
        <v>201</v>
      </c>
      <c r="C197" t="n" s="16">
        <v>8651.07</v>
      </c>
      <c r="D197" t="n" s="17">
        <v>1</v>
      </c>
      <c r="E197" t="n" s="17">
        <v>1</v>
      </c>
      <c r="F197" t="n" s="16">
        <v>0</v>
      </c>
    </row>
    <row r="198" hidden="0" ht="15" customHeight="1" spans="1:1">
      <c r="A198" t="str" s="15">
        <f>HYPERLINK("https://amazon.com/dp/B07ZKXKHSD", "B07ZKXKHSD")</f>
      </c>
      <c r="B198" t="s">
        <v>202</v>
      </c>
      <c r="C198" t="n" s="16">
        <v>8199.87</v>
      </c>
      <c r="D198" t="n" s="17">
        <v>28</v>
      </c>
      <c r="E198" t="n" s="17">
        <v>0</v>
      </c>
      <c r="F198" t="n" s="16">
        <v>0</v>
      </c>
    </row>
    <row r="199" hidden="0" ht="15" customHeight="1" spans="1:1">
      <c r="A199" t="str" s="15">
        <f>HYPERLINK("https://amazon.com/dp/9800359850", "9800359850")</f>
      </c>
      <c r="B199" t="s">
        <v>203</v>
      </c>
      <c r="C199" t="n" s="16">
        <v>8138.6</v>
      </c>
      <c r="D199" t="n" s="17">
        <v>17</v>
      </c>
      <c r="E199" t="n" s="17">
        <v>1</v>
      </c>
      <c r="F199" t="n" s="16">
        <v>0</v>
      </c>
    </row>
    <row r="200" hidden="0" ht="15" customHeight="1" spans="1:1">
      <c r="A200" t="str" s="15">
        <f>HYPERLINK("https://amazon.com/dp/B0B5PLZV5B", "B0B5PLZV5B")</f>
      </c>
      <c r="B200" t="s">
        <v>204</v>
      </c>
      <c r="C200" t="n" s="16">
        <v>8107.82</v>
      </c>
      <c r="D200" t="n" s="17">
        <v>10</v>
      </c>
      <c r="E200" t="n" s="17">
        <v>2</v>
      </c>
      <c r="F200" t="n" s="16">
        <v>0</v>
      </c>
    </row>
    <row r="201" hidden="0" ht="15" customHeight="1" spans="1:1">
      <c r="A201" t="str" s="15">
        <f>HYPERLINK("https://amazon.com/dp/B07ZKWRYSS", "B07ZKWRYSS")</f>
      </c>
      <c r="B201" t="s">
        <v>205</v>
      </c>
      <c r="C201" t="n" s="16">
        <v>7917.99</v>
      </c>
      <c r="D201" t="n" s="17">
        <v>32</v>
      </c>
      <c r="E201" t="n" s="17">
        <v>0</v>
      </c>
      <c r="F201" t="n" s="16">
        <v>0</v>
      </c>
    </row>
    <row r="202" hidden="0" ht="15" customHeight="1" spans="1:1">
      <c r="A202" t="str" s="15">
        <f>HYPERLINK("https://amazon.com/dp/B0799C35LV", "B0799C35LV")</f>
      </c>
      <c r="B202" t="s">
        <v>206</v>
      </c>
      <c r="C202" t="n" s="16">
        <v>7865</v>
      </c>
      <c r="D202" t="n" s="17">
        <v>22</v>
      </c>
      <c r="E202" t="n" s="17">
        <v>3</v>
      </c>
      <c r="F202" t="n" s="16">
        <v>0</v>
      </c>
    </row>
    <row r="203" hidden="0" ht="15" customHeight="1" spans="1:1">
      <c r="A203" t="str" s="15">
        <f>HYPERLINK("https://amazon.com/dp/B0GVKC1PF6", "B0GVKC1PF6")</f>
      </c>
      <c r="B203" t="s">
        <v>207</v>
      </c>
      <c r="C203" t="n" s="16">
        <v>7587.45</v>
      </c>
      <c r="D203" t="n" s="17">
        <v>3</v>
      </c>
      <c r="E203" t="n" s="17">
        <v>1</v>
      </c>
      <c r="F203" t="n" s="16">
        <v>0</v>
      </c>
    </row>
    <row r="204" hidden="0" ht="15" customHeight="1" spans="1:1">
      <c r="A204" t="str" s="15">
        <f>HYPERLINK("https://amazon.com/dp/B07R48S6MB", "B07R48S6MB")</f>
      </c>
      <c r="B204" t="s">
        <v>208</v>
      </c>
      <c r="C204" t="n" s="16">
        <v>7550.5</v>
      </c>
      <c r="D204" t="n" s="17">
        <v>2</v>
      </c>
      <c r="E204" t="n" s="17">
        <v>0</v>
      </c>
      <c r="F204" t="n" s="16">
        <v>0</v>
      </c>
    </row>
    <row r="205" hidden="0" ht="15" customHeight="1" spans="1:1">
      <c r="A205" t="str" s="15">
        <f>HYPERLINK("https://amazon.com/dp/B00H32T3M4", "B00H32T3M4")</f>
      </c>
      <c r="B205" t="s">
        <v>209</v>
      </c>
      <c r="C205" t="n" s="16">
        <v>7468.91</v>
      </c>
      <c r="D205" t="n" s="17">
        <v>19</v>
      </c>
      <c r="E205" t="n" s="17">
        <v>2</v>
      </c>
      <c r="F205" t="n" s="16">
        <v>0</v>
      </c>
    </row>
    <row r="206" hidden="0" ht="15" customHeight="1" spans="1:1">
      <c r="A206" t="str" s="15">
        <f>HYPERLINK("https://amazon.com/dp/B0DQTKH83X", "B0DQTKH83X")</f>
      </c>
      <c r="B206" t="s">
        <v>210</v>
      </c>
      <c r="C206" t="n" s="16">
        <v>7462.14</v>
      </c>
      <c r="D206" t="n" s="17">
        <v>4</v>
      </c>
      <c r="E206" t="n" s="17">
        <v>0</v>
      </c>
      <c r="F206" t="n" s="16">
        <v>0</v>
      </c>
    </row>
    <row r="207" hidden="0" ht="15" customHeight="1" spans="1:1">
      <c r="A207" t="str" s="15">
        <f>HYPERLINK("https://amazon.com/dp/B07KRCW6LZ", "B07KRCW6LZ")</f>
      </c>
      <c r="B207" t="s">
        <v>211</v>
      </c>
      <c r="C207" t="n" s="16">
        <v>7402.26</v>
      </c>
      <c r="D207" t="n" s="17">
        <v>14</v>
      </c>
      <c r="E207" t="n" s="17">
        <v>2</v>
      </c>
      <c r="F207" t="n" s="16">
        <v>0</v>
      </c>
    </row>
    <row r="208" hidden="0" ht="15" customHeight="1" spans="1:1">
      <c r="A208" t="str" s="15">
        <f>HYPERLINK("https://amazon.com/dp/B0GGVD5RB3", "B0GGVD5RB3")</f>
      </c>
      <c r="B208" t="s">
        <v>212</v>
      </c>
      <c r="C208" t="n" s="16">
        <v>7015.72</v>
      </c>
      <c r="D208" t="n" s="17">
        <v>6</v>
      </c>
      <c r="E208" t="n" s="17">
        <v>0</v>
      </c>
      <c r="F208" t="n" s="16">
        <v>0</v>
      </c>
    </row>
    <row r="209" hidden="0" ht="15" customHeight="1" spans="1:1">
      <c r="A209" t="str" s="15">
        <f>HYPERLINK("https://amazon.com/dp/B017IGEPWW", "B017IGEPWW")</f>
      </c>
      <c r="B209" t="s">
        <v>213</v>
      </c>
      <c r="C209" t="n" s="16">
        <v>6796.5</v>
      </c>
      <c r="D209" t="n" s="17">
        <v>3</v>
      </c>
      <c r="E209" t="n" s="17">
        <v>1</v>
      </c>
      <c r="F209" t="n" s="16">
        <v>0</v>
      </c>
    </row>
    <row r="210" hidden="0" ht="15" customHeight="1" spans="1:1">
      <c r="A210" t="str" s="15">
        <f>HYPERLINK("https://amazon.com/dp/B0DJH4JYSM", "B0DJH4JYSM")</f>
      </c>
      <c r="B210" t="s">
        <v>214</v>
      </c>
      <c r="C210" t="n" s="16">
        <v>6732.15</v>
      </c>
      <c r="D210" t="n" s="17">
        <v>1</v>
      </c>
      <c r="E210" t="n" s="17">
        <v>0</v>
      </c>
      <c r="F210" t="n" s="16">
        <v>0</v>
      </c>
    </row>
    <row r="211" hidden="0" ht="15" customHeight="1" spans="1:1">
      <c r="A211" t="str" s="15">
        <f>HYPERLINK("https://amazon.com/dp/B0GVN239YL", "B0GVN239YL")</f>
      </c>
      <c r="B211" t="s">
        <v>215</v>
      </c>
      <c r="C211" t="n" s="16">
        <v>6720.79</v>
      </c>
      <c r="D211" t="n" s="17">
        <v>7</v>
      </c>
      <c r="E211" t="n" s="17">
        <v>1</v>
      </c>
      <c r="F211" t="n" s="16">
        <v>0</v>
      </c>
    </row>
    <row r="212" hidden="0" ht="15" customHeight="1" spans="1:1">
      <c r="A212" t="str" s="15">
        <f>HYPERLINK("https://amazon.com/dp/B0FFMS3ZHF", "B0FFMS3ZHF")</f>
      </c>
      <c r="B212" t="s">
        <v>216</v>
      </c>
      <c r="C212" t="n" s="16">
        <v>6331.74</v>
      </c>
      <c r="D212" t="n" s="17">
        <v>2</v>
      </c>
      <c r="E212" t="n" s="17">
        <v>0</v>
      </c>
      <c r="F212" t="n" s="16">
        <v>0</v>
      </c>
    </row>
    <row r="213" hidden="0" ht="15" customHeight="1" spans="1:1">
      <c r="A213" t="str" s="15">
        <f>HYPERLINK("https://amazon.com/dp/B0DQXPQSXM", "B0DQXPQSXM")</f>
      </c>
      <c r="B213" t="s">
        <v>217</v>
      </c>
      <c r="C213" t="n" s="16">
        <v>6270.2</v>
      </c>
      <c r="D213" t="n" s="17">
        <v>23</v>
      </c>
      <c r="E213" t="n" s="17">
        <v>3</v>
      </c>
      <c r="F213" t="n" s="16">
        <v>0</v>
      </c>
    </row>
    <row r="214" hidden="0" ht="15" customHeight="1" spans="1:1">
      <c r="A214" t="str" s="15">
        <f>HYPERLINK("https://amazon.com/dp/B086LRTQYS", "B086LRTQYS")</f>
      </c>
      <c r="B214" t="s">
        <v>218</v>
      </c>
      <c r="C214" t="n" s="16">
        <v>6229.91</v>
      </c>
      <c r="D214" t="n" s="17">
        <v>3</v>
      </c>
      <c r="E214" t="n" s="17">
        <v>1</v>
      </c>
      <c r="F214" t="n" s="16">
        <v>0</v>
      </c>
    </row>
    <row r="215" hidden="0" ht="15" customHeight="1" spans="1:1">
      <c r="A215" t="str" s="15">
        <f>HYPERLINK("https://amazon.com/dp/B0F8Q743QN", "B0F8Q743QN")</f>
      </c>
      <c r="B215" t="s">
        <v>219</v>
      </c>
      <c r="C215" t="n" s="16">
        <v>6194.48</v>
      </c>
      <c r="D215" t="n" s="17">
        <v>8</v>
      </c>
      <c r="E215" t="n" s="17">
        <v>0</v>
      </c>
      <c r="F215" t="n" s="16">
        <v>0</v>
      </c>
    </row>
    <row r="216" hidden="0" ht="15" customHeight="1" spans="1:1">
      <c r="A216" t="str" s="15">
        <f>HYPERLINK("https://amazon.com/dp/B0DQXRG2F8", "B0DQXRG2F8")</f>
      </c>
      <c r="B216" t="s">
        <v>220</v>
      </c>
      <c r="C216" t="n" s="16">
        <v>5716.78</v>
      </c>
      <c r="D216" t="n" s="17">
        <v>33</v>
      </c>
      <c r="E216" t="n" s="17">
        <v>2</v>
      </c>
      <c r="F216" t="n" s="16">
        <v>0</v>
      </c>
    </row>
    <row r="217" hidden="0" ht="15" customHeight="1" spans="1:1">
      <c r="A217" t="str" s="15">
        <f>HYPERLINK("https://amazon.com/dp/B076JFL4RM", "B076JFL4RM")</f>
      </c>
      <c r="B217" t="s">
        <v>221</v>
      </c>
      <c r="C217" t="n" s="16">
        <v>5678.79</v>
      </c>
      <c r="D217" t="n" s="17">
        <v>19</v>
      </c>
      <c r="E217" t="n" s="17">
        <v>0</v>
      </c>
      <c r="F217" t="n" s="16">
        <v>0</v>
      </c>
    </row>
    <row r="218" hidden="0" ht="15" customHeight="1" spans="1:1">
      <c r="A218" t="str" s="15">
        <f>HYPERLINK("https://amazon.com/dp/B01K7BO3KE", "B01K7BO3KE")</f>
      </c>
      <c r="B218" t="s">
        <v>222</v>
      </c>
      <c r="C218" t="n" s="16">
        <v>5663.94</v>
      </c>
      <c r="D218" t="n" s="17">
        <v>2</v>
      </c>
      <c r="E218" t="n" s="17">
        <v>0</v>
      </c>
      <c r="F218" t="n" s="16">
        <v>0</v>
      </c>
    </row>
    <row r="219" hidden="0" ht="15" customHeight="1" spans="1:1">
      <c r="A219" t="str" s="15">
        <f>HYPERLINK("https://amazon.com/dp/B0FKBPYFFZ", "B0FKBPYFFZ")</f>
      </c>
      <c r="B219" t="s">
        <v>223</v>
      </c>
      <c r="C219" t="n" s="16">
        <v>5499.67</v>
      </c>
      <c r="D219" t="n" s="17">
        <v>1</v>
      </c>
      <c r="E219" t="n" s="17">
        <v>1</v>
      </c>
      <c r="F219" t="n" s="16">
        <v>0</v>
      </c>
    </row>
    <row r="220" hidden="0" ht="15" customHeight="1" spans="1:1">
      <c r="A220" t="str" s="15">
        <f>HYPERLINK("https://amazon.com/dp/B01GNP5UUA", "B01GNP5UUA")</f>
      </c>
      <c r="B220" t="s">
        <v>224</v>
      </c>
      <c r="C220" t="n" s="16">
        <v>5428.2</v>
      </c>
      <c r="D220" t="n" s="17">
        <v>13</v>
      </c>
      <c r="E220" t="n" s="17">
        <v>0</v>
      </c>
      <c r="F220" t="n" s="16">
        <v>0</v>
      </c>
    </row>
    <row r="221" hidden="0" ht="15" customHeight="1" spans="1:1">
      <c r="A221" t="str" s="15">
        <f>HYPERLINK("https://amazon.com/dp/B0DKSLLYTM", "B0DKSLLYTM")</f>
      </c>
      <c r="B221" t="s">
        <v>225</v>
      </c>
      <c r="C221" t="n" s="16">
        <v>5149.69</v>
      </c>
      <c r="D221" t="n" s="17">
        <v>3</v>
      </c>
      <c r="E221" t="n" s="17">
        <v>0</v>
      </c>
      <c r="F221" t="n" s="16">
        <v>0</v>
      </c>
    </row>
    <row r="222" hidden="0" ht="15" customHeight="1" spans="1:1">
      <c r="A222" t="str" s="15">
        <f>HYPERLINK("https://amazon.com/dp/B004393J9I", "B004393J9I")</f>
      </c>
      <c r="B222" t="s">
        <v>226</v>
      </c>
      <c r="C222" t="n" s="16">
        <v>5081.51</v>
      </c>
      <c r="D222" t="n" s="17">
        <v>2</v>
      </c>
      <c r="E222" t="n" s="17">
        <v>0</v>
      </c>
      <c r="F222" t="n" s="16">
        <v>0</v>
      </c>
    </row>
    <row r="223" hidden="0" ht="15" customHeight="1" spans="1:1">
      <c r="A223" t="str" s="15">
        <f>HYPERLINK("https://amazon.com/dp/B0CPLWFF3J", "B0CPLWFF3J")</f>
      </c>
      <c r="B223" t="s">
        <v>227</v>
      </c>
      <c r="C223" t="n" s="16">
        <v>4939.61</v>
      </c>
      <c r="D223" t="n" s="17">
        <v>3</v>
      </c>
      <c r="E223" t="n" s="17">
        <v>1</v>
      </c>
      <c r="F223" t="n" s="16">
        <v>0</v>
      </c>
    </row>
    <row r="224" hidden="0" ht="15" customHeight="1" spans="1:1">
      <c r="A224" t="str" s="15">
        <f>HYPERLINK("https://amazon.com/dp/B0BRKFJXTT", "B0BRKFJXTT")</f>
      </c>
      <c r="B224" t="s">
        <v>228</v>
      </c>
      <c r="C224" t="n" s="16">
        <v>4820.5</v>
      </c>
      <c r="D224" t="n" s="17">
        <v>1</v>
      </c>
      <c r="E224" t="n" s="17">
        <v>0</v>
      </c>
      <c r="F224" t="n" s="16">
        <v>0</v>
      </c>
    </row>
    <row r="225" hidden="0" ht="15" customHeight="1" spans="1:1">
      <c r="A225" t="str" s="15">
        <f>HYPERLINK("https://amazon.com/dp/B0C3D3G42H", "B0C3D3G42H")</f>
      </c>
      <c r="B225" t="s">
        <v>229</v>
      </c>
      <c r="C225" t="n" s="16">
        <v>4563.32</v>
      </c>
      <c r="D225" t="n" s="17">
        <v>4</v>
      </c>
      <c r="E225" t="n" s="17">
        <v>0</v>
      </c>
      <c r="F225" t="n" s="16">
        <v>0</v>
      </c>
    </row>
    <row r="226" hidden="0" ht="15" customHeight="1" spans="1:1">
      <c r="A226" t="str" s="15">
        <f>HYPERLINK("https://amazon.com/dp/B0B7NDJW6J", "B0B7NDJW6J")</f>
      </c>
      <c r="B226" t="s">
        <v>230</v>
      </c>
      <c r="C226" t="n" s="16">
        <v>4407.69</v>
      </c>
      <c r="D226" t="n" s="17">
        <v>7</v>
      </c>
      <c r="E226" t="n" s="17">
        <v>0</v>
      </c>
      <c r="F226" t="n" s="16">
        <v>0</v>
      </c>
    </row>
    <row r="227" hidden="0" ht="15" customHeight="1" spans="1:1">
      <c r="A227" t="str" s="15">
        <f>HYPERLINK("https://amazon.com/dp/B00YMTI6WO", "B00YMTI6WO")</f>
      </c>
      <c r="B227" t="s">
        <v>231</v>
      </c>
      <c r="C227" t="n" s="16">
        <v>4321.02</v>
      </c>
      <c r="D227" t="n" s="17">
        <v>6</v>
      </c>
      <c r="E227" t="n" s="17">
        <v>0</v>
      </c>
      <c r="F227" t="n" s="16">
        <v>0</v>
      </c>
    </row>
    <row r="228" hidden="0" ht="15" customHeight="1" spans="1:1">
      <c r="A228" t="str" s="15">
        <f>HYPERLINK("https://amazon.com/dp/B0GD6GXR92", "B0GD6GXR92")</f>
      </c>
      <c r="B228" t="s">
        <v>232</v>
      </c>
      <c r="C228" t="n" s="16">
        <v>4314.67</v>
      </c>
      <c r="D228" t="n" s="17">
        <v>4</v>
      </c>
      <c r="E228" t="n" s="17">
        <v>0</v>
      </c>
      <c r="F228" t="n" s="16">
        <v>0</v>
      </c>
    </row>
    <row r="229" hidden="0" ht="15" customHeight="1" spans="1:1">
      <c r="A229" t="str" s="15">
        <f>HYPERLINK("https://amazon.com/dp/B0D6W3JHJF", "B0D6W3JHJF")</f>
      </c>
      <c r="B229" t="s">
        <v>233</v>
      </c>
      <c r="C229" t="n" s="16">
        <v>4244.62</v>
      </c>
      <c r="D229" t="n" s="17">
        <v>5</v>
      </c>
      <c r="E229" t="n" s="17">
        <v>1</v>
      </c>
      <c r="F229" t="n" s="16">
        <v>0</v>
      </c>
    </row>
    <row r="230" hidden="0" ht="15" customHeight="1" spans="1:1">
      <c r="A230" t="str" s="15">
        <f>HYPERLINK("https://amazon.com/dp/B01BPFKNNM", "B01BPFKNNM")</f>
      </c>
      <c r="B230" t="s">
        <v>234</v>
      </c>
      <c r="C230" t="n" s="16">
        <v>4212.06</v>
      </c>
      <c r="D230" t="n" s="17">
        <v>2</v>
      </c>
      <c r="E230" t="n" s="17">
        <v>2</v>
      </c>
      <c r="F230" t="n" s="16">
        <v>0</v>
      </c>
    </row>
    <row r="231" hidden="0" ht="15" customHeight="1" spans="1:1">
      <c r="A231" t="str" s="15">
        <f>HYPERLINK("https://amazon.com/dp/B0GLRL6H6Y", "B0GLRL6H6Y")</f>
      </c>
      <c r="B231" t="s">
        <v>235</v>
      </c>
      <c r="C231" t="n" s="16">
        <v>4198.85</v>
      </c>
      <c r="D231" t="n" s="17">
        <v>13</v>
      </c>
      <c r="E231" t="n" s="17">
        <v>2</v>
      </c>
      <c r="F231" t="n" s="16">
        <v>0</v>
      </c>
    </row>
    <row r="232" hidden="0" ht="15" customHeight="1" spans="1:1">
      <c r="A232" t="str" s="15">
        <f>HYPERLINK("https://amazon.com/dp/B07F5GMKN8", "B07F5GMKN8")</f>
      </c>
      <c r="B232" t="s">
        <v>236</v>
      </c>
      <c r="C232" t="n" s="16">
        <v>3997.37</v>
      </c>
      <c r="D232" t="n" s="17">
        <v>15</v>
      </c>
      <c r="E232" t="n" s="17">
        <v>0</v>
      </c>
      <c r="F232" t="n" s="16">
        <v>0</v>
      </c>
    </row>
    <row r="233" hidden="0" ht="15" customHeight="1" spans="1:1">
      <c r="A233" t="str" s="15">
        <f>HYPERLINK("https://amazon.com/dp/B08FY4G3FN", "B08FY4G3FN")</f>
      </c>
      <c r="B233" t="s">
        <v>237</v>
      </c>
      <c r="C233" t="n" s="16">
        <v>3887.46</v>
      </c>
      <c r="D233" t="n" s="17">
        <v>3</v>
      </c>
      <c r="E233" t="n" s="17">
        <v>0</v>
      </c>
      <c r="F233" t="n" s="16">
        <v>0</v>
      </c>
    </row>
    <row r="234" hidden="0" ht="15" customHeight="1" spans="1:1">
      <c r="A234" t="str" s="15">
        <f>HYPERLINK("https://amazon.com/dp/B001GQDRWK", "B001GQDRWK")</f>
      </c>
      <c r="B234" t="s">
        <v>238</v>
      </c>
      <c r="C234" t="n" s="16">
        <v>3796.13</v>
      </c>
      <c r="D234" t="n" s="17">
        <v>5</v>
      </c>
      <c r="E234" t="n" s="17">
        <v>2</v>
      </c>
      <c r="F234" t="n" s="16">
        <v>0</v>
      </c>
    </row>
    <row r="235" hidden="0" ht="15" customHeight="1" spans="1:1">
      <c r="A235" t="str" s="15">
        <f>HYPERLINK("https://amazon.com/dp/B0DQXQXWDL", "B0DQXQXWDL")</f>
      </c>
      <c r="B235" t="s">
        <v>239</v>
      </c>
      <c r="C235" t="n" s="16">
        <v>3779.42</v>
      </c>
      <c r="D235" t="n" s="17">
        <v>1</v>
      </c>
      <c r="E235" t="n" s="17">
        <v>0</v>
      </c>
      <c r="F235" t="n" s="16">
        <v>0</v>
      </c>
    </row>
    <row r="236" hidden="0" ht="15" customHeight="1" spans="1:1">
      <c r="A236" t="str" s="15">
        <f>HYPERLINK("https://amazon.com/dp/B00DD152WY", "B00DD152WY")</f>
      </c>
      <c r="B236" t="s">
        <v>240</v>
      </c>
      <c r="C236" t="n" s="16">
        <v>3360.19</v>
      </c>
      <c r="D236" t="n" s="17">
        <v>4</v>
      </c>
      <c r="E236" t="n" s="17">
        <v>0</v>
      </c>
      <c r="F236" t="n" s="16">
        <v>0</v>
      </c>
    </row>
    <row r="237" hidden="0" ht="15" customHeight="1" spans="1:1">
      <c r="A237" t="str" s="15">
        <f>HYPERLINK("https://amazon.com/dp/B09K6D67NB", "B09K6D67NB")</f>
      </c>
      <c r="B237" t="s">
        <v>241</v>
      </c>
      <c r="C237" t="n" s="16">
        <v>3350.97</v>
      </c>
      <c r="D237" t="n" s="17">
        <v>1</v>
      </c>
      <c r="E237" t="n" s="17">
        <v>0</v>
      </c>
      <c r="F237" t="n" s="16">
        <v>0</v>
      </c>
    </row>
    <row r="238" hidden="0" ht="15" customHeight="1" spans="1:1">
      <c r="A238" t="str" s="15">
        <f>HYPERLINK("https://amazon.com/dp/B00A8GVNNY", "B00A8GVNNY")</f>
      </c>
      <c r="B238" t="s">
        <v>242</v>
      </c>
      <c r="C238" t="n" s="16">
        <v>3286.88</v>
      </c>
      <c r="D238" t="n" s="17">
        <v>4</v>
      </c>
      <c r="E238" t="n" s="17">
        <v>0</v>
      </c>
      <c r="F238" t="n" s="16">
        <v>0</v>
      </c>
    </row>
    <row r="239" hidden="0" ht="15" customHeight="1" spans="1:1">
      <c r="A239" t="str" s="15">
        <f>HYPERLINK("https://amazon.com/dp/B00BOJQFLE", "B00BOJQFLE")</f>
      </c>
      <c r="B239" t="s">
        <v>243</v>
      </c>
      <c r="C239" t="n" s="16">
        <v>2789.26</v>
      </c>
      <c r="D239" t="n" s="17">
        <v>9</v>
      </c>
      <c r="E239" t="n" s="17">
        <v>0</v>
      </c>
      <c r="F239" t="n" s="16">
        <v>0</v>
      </c>
    </row>
    <row r="240" hidden="0" ht="15" customHeight="1" spans="1:1">
      <c r="A240" t="str" s="15">
        <f>HYPERLINK("https://amazon.com/dp/B0GVN15P4Q", "B0GVN15P4Q")</f>
      </c>
      <c r="B240" t="s">
        <v>244</v>
      </c>
      <c r="C240" t="n" s="16">
        <v>2514.82</v>
      </c>
      <c r="D240" t="n" s="17">
        <v>2</v>
      </c>
      <c r="E240" t="n" s="17">
        <v>0</v>
      </c>
      <c r="F240" t="n" s="16">
        <v>0</v>
      </c>
    </row>
    <row r="241" hidden="0" ht="15" customHeight="1" spans="1:1">
      <c r="A241" t="str" s="15">
        <f>HYPERLINK("https://amazon.com/dp/B07FY23LW7", "B07FY23LW7")</f>
      </c>
      <c r="B241" t="s">
        <v>245</v>
      </c>
      <c r="C241" t="n" s="16">
        <v>2449.71</v>
      </c>
      <c r="D241" t="n" s="17">
        <v>1</v>
      </c>
      <c r="E241" t="n" s="17">
        <v>1</v>
      </c>
      <c r="F241" t="n" s="16">
        <v>0</v>
      </c>
    </row>
    <row r="242" hidden="0" ht="15" customHeight="1" spans="1:1">
      <c r="A242" t="str" s="15">
        <f>HYPERLINK("https://amazon.com/dp/B0CQLKDTQD", "B0CQLKDTQD")</f>
      </c>
      <c r="B242" t="s">
        <v>246</v>
      </c>
      <c r="C242" t="n" s="16">
        <v>2328.38</v>
      </c>
      <c r="D242" t="n" s="17">
        <v>1</v>
      </c>
      <c r="E242" t="n" s="17">
        <v>0</v>
      </c>
      <c r="F242" t="n" s="16">
        <v>0</v>
      </c>
    </row>
    <row r="243" hidden="0" ht="15" customHeight="1" spans="1:1">
      <c r="A243" t="str" s="15">
        <f>HYPERLINK("https://amazon.com/dp/B0D4LL6VJW", "B0D4LL6VJW")</f>
      </c>
      <c r="B243" t="s">
        <v>247</v>
      </c>
      <c r="C243" t="n" s="16">
        <v>2223.7</v>
      </c>
      <c r="D243" t="n" s="17">
        <v>1</v>
      </c>
      <c r="E243" t="n" s="17">
        <v>0</v>
      </c>
      <c r="F243" t="n" s="16">
        <v>0</v>
      </c>
    </row>
    <row r="244" hidden="0" ht="15" customHeight="1" spans="1:1">
      <c r="A244" t="str" s="15">
        <f>HYPERLINK("https://amazon.com/dp/B0GVYW6H1X", "B0GVYW6H1X")</f>
      </c>
      <c r="B244" t="s">
        <v>248</v>
      </c>
      <c r="C244" t="n" s="16">
        <v>2211.77</v>
      </c>
      <c r="D244" t="n" s="17">
        <v>1</v>
      </c>
      <c r="E244" t="n" s="17">
        <v>1</v>
      </c>
      <c r="F244" t="n" s="16">
        <v>0</v>
      </c>
    </row>
    <row r="245" hidden="0" ht="15" customHeight="1" spans="1:1">
      <c r="A245" t="str" s="15">
        <f>HYPERLINK("https://amazon.com/dp/B09NC4SSSQ", "B09NC4SSSQ")</f>
      </c>
      <c r="B245" t="s">
        <v>249</v>
      </c>
      <c r="C245" t="n" s="16">
        <v>2207.5</v>
      </c>
      <c r="D245" t="n" s="17">
        <v>1</v>
      </c>
      <c r="E245" t="n" s="17">
        <v>0</v>
      </c>
      <c r="F245" t="n" s="16">
        <v>0</v>
      </c>
    </row>
    <row r="246" hidden="0" ht="15" customHeight="1" spans="1:1">
      <c r="A246" t="str" s="15">
        <f>HYPERLINK("https://amazon.com/dp/B09QFZSB7M", "B09QFZSB7M")</f>
      </c>
      <c r="B246" t="s">
        <v>250</v>
      </c>
      <c r="C246" t="n" s="16">
        <v>2005.25</v>
      </c>
      <c r="D246" t="n" s="17">
        <v>2</v>
      </c>
      <c r="E246" t="n" s="17">
        <v>1</v>
      </c>
      <c r="F246" t="n" s="16">
        <v>0</v>
      </c>
    </row>
    <row r="247" hidden="0" ht="15" customHeight="1" spans="1:1">
      <c r="A247" t="str" s="15">
        <f>HYPERLINK("https://amazon.com/dp/B00172Q5M2", "B00172Q5M2")</f>
      </c>
      <c r="B247" t="s">
        <v>251</v>
      </c>
      <c r="C247" t="n" s="16">
        <v>1975.53</v>
      </c>
      <c r="D247" t="n" s="17">
        <v>3</v>
      </c>
      <c r="E247" t="n" s="17">
        <v>0</v>
      </c>
      <c r="F247" t="n" s="16">
        <v>0</v>
      </c>
    </row>
    <row r="248" hidden="0" ht="15" customHeight="1" spans="1:1">
      <c r="A248" t="str" s="15">
        <f>HYPERLINK("https://amazon.com/dp/B006BSPTAQ", "B006BSPTAQ")</f>
      </c>
      <c r="B248" t="s">
        <v>252</v>
      </c>
      <c r="C248" t="n" s="16">
        <v>1863</v>
      </c>
      <c r="D248" t="n" s="17">
        <v>3</v>
      </c>
      <c r="E248" t="n" s="17">
        <v>0</v>
      </c>
      <c r="F248" t="n" s="16">
        <v>0</v>
      </c>
    </row>
    <row r="249" hidden="0" ht="15" customHeight="1" spans="1:1">
      <c r="A249" t="str" s="15">
        <f>HYPERLINK("https://amazon.com/dp/B087RZVBQW", "B087RZVBQW")</f>
      </c>
      <c r="B249" t="s">
        <v>253</v>
      </c>
      <c r="C249" t="n" s="16">
        <v>1845</v>
      </c>
      <c r="D249" t="n" s="17">
        <v>6</v>
      </c>
      <c r="E249" t="n" s="17">
        <v>4</v>
      </c>
      <c r="F249" t="n" s="16">
        <v>0</v>
      </c>
    </row>
    <row r="250" hidden="0" ht="15" customHeight="1" spans="1:1">
      <c r="A250" t="str" s="15">
        <f>HYPERLINK("https://amazon.com/dp/B0BJ28DJ7W", "B0BJ28DJ7W")</f>
      </c>
      <c r="B250" t="s">
        <v>254</v>
      </c>
      <c r="C250" t="n" s="16">
        <v>1822.5</v>
      </c>
      <c r="D250" t="n" s="17">
        <v>3</v>
      </c>
      <c r="E250" t="n" s="17">
        <v>0</v>
      </c>
      <c r="F250" t="n" s="16">
        <v>0</v>
      </c>
    </row>
    <row r="251" hidden="0" ht="15" customHeight="1" spans="1:1">
      <c r="A251" t="str" s="15">
        <f>HYPERLINK("https://amazon.com/dp/B00LI4O9EA", "B00LI4O9EA")</f>
      </c>
      <c r="B251" t="s">
        <v>255</v>
      </c>
      <c r="C251" t="n" s="16">
        <v>1806.67</v>
      </c>
      <c r="D251" t="n" s="17">
        <v>1</v>
      </c>
      <c r="E251" t="n" s="17">
        <v>0</v>
      </c>
      <c r="F251" t="n" s="16">
        <v>0</v>
      </c>
    </row>
    <row r="252" hidden="0" ht="15" customHeight="1" spans="1:1">
      <c r="A252" t="str" s="15">
        <f>HYPERLINK("https://amazon.com/dp/B0783PHTJJ", "B0783PHTJJ")</f>
      </c>
      <c r="B252" t="s">
        <v>256</v>
      </c>
      <c r="C252" t="n" s="16">
        <v>1765</v>
      </c>
      <c r="D252" t="n" s="17">
        <v>2</v>
      </c>
      <c r="E252" t="n" s="17">
        <v>0</v>
      </c>
      <c r="F252" t="n" s="16">
        <v>0</v>
      </c>
    </row>
    <row r="253" hidden="0" ht="15" customHeight="1" spans="1:1">
      <c r="A253" t="str" s="15">
        <f>HYPERLINK("https://amazon.com/dp/B0D92F5HX4", "B0D92F5HX4")</f>
      </c>
      <c r="B253" t="s">
        <v>257</v>
      </c>
      <c r="C253" t="n" s="16">
        <v>1753.6</v>
      </c>
      <c r="D253" t="n" s="17">
        <v>5</v>
      </c>
      <c r="E253" t="n" s="17">
        <v>0</v>
      </c>
      <c r="F253" t="n" s="16">
        <v>0</v>
      </c>
    </row>
    <row r="254" hidden="0" ht="15" customHeight="1" spans="1:1">
      <c r="A254" t="str" s="15">
        <f>HYPERLINK("https://amazon.com/dp/B000N79VQO", "B000N79VQO")</f>
      </c>
      <c r="B254" t="s">
        <v>258</v>
      </c>
      <c r="C254" t="n" s="16">
        <v>1573.34</v>
      </c>
      <c r="D254" t="n" s="17">
        <v>2</v>
      </c>
      <c r="E254" t="n" s="17">
        <v>0</v>
      </c>
      <c r="F254" t="n" s="16">
        <v>0</v>
      </c>
    </row>
    <row r="255" hidden="0" ht="15" customHeight="1" spans="1:1">
      <c r="A255" t="str" s="15">
        <f>HYPERLINK("https://amazon.com/dp/B00HNFP4HO", "B00HNFP4HO")</f>
      </c>
      <c r="B255" t="s">
        <v>259</v>
      </c>
      <c r="C255" t="n" s="16">
        <v>1374.38</v>
      </c>
      <c r="D255" t="n" s="17">
        <v>3</v>
      </c>
      <c r="E255" t="n" s="17">
        <v>1</v>
      </c>
      <c r="F255" t="n" s="16">
        <v>0</v>
      </c>
    </row>
    <row r="256" hidden="0" ht="15" customHeight="1" spans="1:1">
      <c r="A256" t="str" s="15">
        <f>HYPERLINK("https://amazon.com/dp/B0DK5SQ87G", "B0DK5SQ87G")</f>
      </c>
      <c r="B256" t="s">
        <v>260</v>
      </c>
      <c r="C256" t="n" s="16">
        <v>1365.3</v>
      </c>
      <c r="D256" t="n" s="17">
        <v>2</v>
      </c>
      <c r="E256" t="n" s="17">
        <v>0</v>
      </c>
      <c r="F256" t="n" s="16">
        <v>0</v>
      </c>
    </row>
    <row r="257" hidden="0" ht="15" customHeight="1" spans="1:1">
      <c r="A257" t="str" s="15">
        <f>HYPERLINK("https://amazon.com/dp/B07DYWS92W", "B07DYWS92W")</f>
      </c>
      <c r="B257" t="s">
        <v>261</v>
      </c>
      <c r="C257" t="n" s="16">
        <v>1274.17</v>
      </c>
      <c r="D257" t="n" s="17">
        <v>1</v>
      </c>
      <c r="E257" t="n" s="17">
        <v>0</v>
      </c>
      <c r="F257" t="n" s="16">
        <v>0</v>
      </c>
    </row>
    <row r="258" hidden="0" ht="15" customHeight="1" spans="1:1">
      <c r="A258" t="str" s="15">
        <f>HYPERLINK("https://amazon.com/dp/B0FZ439BD1", "B0FZ439BD1")</f>
      </c>
      <c r="B258" t="s">
        <v>262</v>
      </c>
      <c r="C258" t="n" s="16">
        <v>1107.5</v>
      </c>
      <c r="D258" t="n" s="17">
        <v>1</v>
      </c>
      <c r="E258" t="n" s="17">
        <v>0</v>
      </c>
      <c r="F258" t="n" s="16">
        <v>0</v>
      </c>
    </row>
    <row r="259" hidden="0" ht="15" customHeight="1" spans="1:1">
      <c r="A259" t="str" s="15">
        <f>HYPERLINK("https://amazon.com/dp/B00V4BGE7C", "B00V4BGE7C")</f>
      </c>
      <c r="B259" t="s">
        <v>263</v>
      </c>
      <c r="C259" t="n" s="16">
        <v>1042.37</v>
      </c>
      <c r="D259" t="n" s="17">
        <v>1</v>
      </c>
      <c r="E259" t="n" s="17">
        <v>0</v>
      </c>
      <c r="F259" t="n" s="16">
        <v>0</v>
      </c>
    </row>
    <row r="260" hidden="0" ht="15" customHeight="1" spans="1:1">
      <c r="A260" t="str" s="15">
        <f>HYPERLINK("https://amazon.com/dp/B0GVZ4Z8S9", "B0GVZ4Z8S9")</f>
      </c>
      <c r="B260" t="s">
        <v>264</v>
      </c>
      <c r="C260" t="n" s="16">
        <v>1000.99</v>
      </c>
      <c r="D260" t="n" s="17">
        <v>1</v>
      </c>
      <c r="E260" t="n" s="17">
        <v>0</v>
      </c>
      <c r="F260" t="n" s="16">
        <v>0</v>
      </c>
    </row>
    <row r="261" hidden="0" ht="15" customHeight="1" spans="1:1">
      <c r="A261" t="str" s="15">
        <f>HYPERLINK("https://amazon.com/dp/B0CHFG2FQG", "B0CHFG2FQG")</f>
      </c>
      <c r="B261" t="s">
        <v>265</v>
      </c>
      <c r="C261" t="n" s="16">
        <v>1000.29</v>
      </c>
      <c r="D261" t="n" s="17">
        <v>1</v>
      </c>
      <c r="E261" t="n" s="17">
        <v>0</v>
      </c>
      <c r="F261" t="n" s="16">
        <v>0</v>
      </c>
    </row>
    <row r="262" hidden="0" ht="15" customHeight="1" spans="1:1">
      <c r="A262" t="str" s="15">
        <f>HYPERLINK("https://amazon.com/dp/B095CLQ1PT", "B095CLQ1PT")</f>
      </c>
      <c r="B262" t="s">
        <v>266</v>
      </c>
      <c r="C262" t="n" s="16">
        <v>958.33</v>
      </c>
      <c r="D262" t="n" s="17">
        <v>1</v>
      </c>
      <c r="E262" t="n" s="17">
        <v>0</v>
      </c>
      <c r="F262" t="n" s="16">
        <v>0</v>
      </c>
    </row>
    <row r="263" hidden="0" ht="15" customHeight="1" spans="1:1">
      <c r="A263" t="str" s="15">
        <f>HYPERLINK("https://amazon.com/dp/B00TQEX8BO", "B00TQEX8BO")</f>
      </c>
      <c r="B263" t="s">
        <v>267</v>
      </c>
      <c r="C263" t="n" s="16">
        <v>922.68</v>
      </c>
      <c r="D263" t="n" s="17">
        <v>1</v>
      </c>
      <c r="E263" t="n" s="17">
        <v>0</v>
      </c>
      <c r="F263" t="n" s="16">
        <v>0</v>
      </c>
    </row>
    <row r="264" hidden="0" ht="15" customHeight="1" spans="1:1">
      <c r="A264" t="str" s="15">
        <f>HYPERLINK("https://amazon.com/dp/B0D4LPG5G5", "B0D4LPG5G5")</f>
      </c>
      <c r="B264" t="s">
        <v>268</v>
      </c>
      <c r="C264" t="n" s="16">
        <v>872.49</v>
      </c>
      <c r="D264" t="n" s="17">
        <v>3</v>
      </c>
      <c r="E264" t="n" s="17">
        <v>0</v>
      </c>
      <c r="F264" t="n" s="16">
        <v>0</v>
      </c>
    </row>
    <row r="265" hidden="0" ht="15" customHeight="1" spans="1:1">
      <c r="A265" t="str" s="15">
        <f>HYPERLINK("https://amazon.com/dp/B0BCWNBNTK", "B0BCWNBNTK")</f>
      </c>
      <c r="B265" t="s">
        <v>269</v>
      </c>
      <c r="C265" t="n" s="16">
        <v>790.87</v>
      </c>
      <c r="D265" t="n" s="17">
        <v>1</v>
      </c>
      <c r="E265" t="n" s="17">
        <v>0</v>
      </c>
      <c r="F265" t="n" s="16">
        <v>0</v>
      </c>
    </row>
    <row r="266" hidden="0" ht="15" customHeight="1" spans="1:1">
      <c r="A266" t="str" s="15">
        <f>HYPERLINK("https://amazon.com/dp/B001PS4NWW", "B001PS4NWW")</f>
      </c>
      <c r="B266" t="s">
        <v>270</v>
      </c>
      <c r="C266" t="n" s="16">
        <v>634.87</v>
      </c>
      <c r="D266" t="n" s="17">
        <v>1</v>
      </c>
      <c r="E266" t="n" s="17">
        <v>0</v>
      </c>
      <c r="F266" t="n" s="16">
        <v>0</v>
      </c>
    </row>
    <row r="267" hidden="0" ht="15" customHeight="1" spans="1:1">
      <c r="A267" t="str" s="15">
        <f>HYPERLINK("https://amazon.com/dp/B01EXDG2MO", "B01EXDG2MO")</f>
      </c>
      <c r="B267" t="s">
        <v>271</v>
      </c>
      <c r="C267" t="n" s="16">
        <v>552.03</v>
      </c>
      <c r="D267" t="n" s="17">
        <v>1</v>
      </c>
      <c r="E267" t="n" s="17">
        <v>0</v>
      </c>
      <c r="F267" t="n" s="16">
        <v>0</v>
      </c>
    </row>
    <row r="268" hidden="0" ht="15" customHeight="1" spans="1:1">
      <c r="A268" t="str" s="15">
        <f>HYPERLINK("https://amazon.com/dp/B0B6CHGK25", "B0B6CHGK25")</f>
      </c>
      <c r="B268" t="s">
        <v>272</v>
      </c>
      <c r="C268" t="n" s="16">
        <v>540.83</v>
      </c>
      <c r="D268" t="n" s="17">
        <v>1</v>
      </c>
      <c r="E268" t="n" s="17">
        <v>0</v>
      </c>
      <c r="F268" t="n" s="16">
        <v>0</v>
      </c>
    </row>
    <row r="269" hidden="0" ht="15" customHeight="1" spans="1:1">
      <c r="A269" t="str" s="15">
        <f>HYPERLINK("https://amazon.com/dp/B0FJLPX3GZ", "B0FJLPX3GZ")</f>
      </c>
      <c r="B269" t="s">
        <v>273</v>
      </c>
      <c r="C269" t="n" s="16">
        <v>509.71</v>
      </c>
      <c r="D269" t="n" s="17">
        <v>1</v>
      </c>
      <c r="E269" t="n" s="17">
        <v>0</v>
      </c>
      <c r="F269" t="n" s="16">
        <v>0</v>
      </c>
    </row>
    <row r="270" hidden="0" ht="15" customHeight="1" spans="1:1">
      <c r="A270" t="str" s="15">
        <f>HYPERLINK("https://amazon.com/dp/B08QRPVW9S", "B08QRPVW9S")</f>
      </c>
      <c r="B270" t="s">
        <v>274</v>
      </c>
      <c r="C270" t="n" s="16">
        <v>499.17</v>
      </c>
      <c r="D270" t="n" s="17">
        <v>1</v>
      </c>
      <c r="E270" t="n" s="17">
        <v>0</v>
      </c>
      <c r="F270" t="n" s="16">
        <v>0</v>
      </c>
    </row>
    <row r="271" hidden="0" ht="15" customHeight="1" spans="1:1">
      <c r="A271" t="str" s="15">
        <f>HYPERLINK("https://amazon.com/dp/B0DQPPZTJY", "B0DQPPZTJY")</f>
      </c>
      <c r="B271" t="s">
        <v>275</v>
      </c>
      <c r="C271" t="n" s="16">
        <v>455.18</v>
      </c>
      <c r="D271" t="n" s="17">
        <v>2</v>
      </c>
      <c r="E271" t="n" s="17">
        <v>0</v>
      </c>
      <c r="F271" t="n" s="16">
        <v>0</v>
      </c>
    </row>
    <row r="272" hidden="0" ht="15" customHeight="1" spans="1:1">
      <c r="A272" t="str" s="15">
        <f>HYPERLINK("https://amazon.com/dp/B00194XKXA", "B00194XKXA")</f>
      </c>
      <c r="B272" t="s">
        <v>276</v>
      </c>
      <c r="C272" t="n" s="16">
        <v>415.64</v>
      </c>
      <c r="D272" t="n" s="17">
        <v>1</v>
      </c>
      <c r="E272" t="n" s="17">
        <v>0</v>
      </c>
      <c r="F272" t="n" s="16">
        <v>0</v>
      </c>
    </row>
    <row r="273" hidden="0" ht="15" customHeight="1" spans="1:1">
      <c r="A273" t="str" s="15">
        <f>HYPERLINK("https://amazon.com/dp/B019RS0VTA", "B019RS0VTA")</f>
      </c>
      <c r="B273" t="s">
        <v>277</v>
      </c>
      <c r="C273" t="n" s="16">
        <v>107.5</v>
      </c>
      <c r="D273" t="n" s="17">
        <v>1</v>
      </c>
      <c r="E273" t="n" s="17">
        <v>0</v>
      </c>
      <c r="F273" t="n" s="16">
        <v>0</v>
      </c>
    </row>
    <row r="274" hidden="0" ht="15" customHeight="1" spans="1:1">
      <c r="A274" t="str" s="15">
        <f>HYPERLINK("https://amazon.com/dp/B0859M6P2C", "B0859M6P2C")</f>
      </c>
      <c r="B274" t="s">
        <v>278</v>
      </c>
      <c r="C274" t="n" s="16">
        <v>0</v>
      </c>
      <c r="D274" t="n" s="17">
        <v>0</v>
      </c>
      <c r="E274" t="n" s="17">
        <v>1</v>
      </c>
      <c r="F274" t="n" s="16">
        <v>0</v>
      </c>
    </row>
    <row r="275" hidden="0" ht="15" customHeight="1" spans="1:1">
      <c r="A275" t="str" s="15">
        <f>HYPERLINK("https://amazon.com/dp/B01EK8CVHW", "B01EK8CVHW")</f>
      </c>
      <c r="B275" t="s">
        <v>279</v>
      </c>
      <c r="C275" t="n" s="16">
        <v>0</v>
      </c>
      <c r="D275" t="n" s="17">
        <v>0</v>
      </c>
      <c r="E275" t="n" s="17">
        <v>0</v>
      </c>
      <c r="F275" t="n" s="16">
        <v>0</v>
      </c>
    </row>
    <row r="276" hidden="0" ht="15" customHeight="1" spans="1:1">
      <c r="A276" t="str" s="15">
        <f>HYPERLINK("https://amazon.com/dp/B079GZNQ2B", "B079GZNQ2B")</f>
      </c>
      <c r="B276" t="s">
        <v>280</v>
      </c>
      <c r="C276" t="n" s="16">
        <v>0</v>
      </c>
      <c r="D276" t="n" s="17">
        <v>0</v>
      </c>
      <c r="E276" t="n" s="17">
        <v>1</v>
      </c>
      <c r="F276" t="n" s="16">
        <v>0</v>
      </c>
    </row>
    <row r="277" hidden="0" ht="15" customHeight="1" spans="1:1">
      <c r="A277" t="str" s="15">
        <f>HYPERLINK("https://amazon.com/dp/B0FC2NPY55", "B0FC2NPY55")</f>
      </c>
      <c r="B277" t="s">
        <v>281</v>
      </c>
      <c r="C277" t="n" s="16">
        <v>0</v>
      </c>
      <c r="D277" t="n" s="17">
        <v>0</v>
      </c>
      <c r="E277" t="n" s="17">
        <v>0</v>
      </c>
      <c r="F277" t="n" s="16">
        <v>0</v>
      </c>
    </row>
    <row r="278" hidden="0" ht="15" customHeight="1" spans="1:1">
      <c r="A278" t="str" s="15">
        <f>HYPERLINK("https://amazon.com/dp/B00HHREN1Q", "B00HHREN1Q")</f>
      </c>
      <c r="B278" t="s">
        <v>282</v>
      </c>
      <c r="C278" t="n" s="16">
        <v>0</v>
      </c>
      <c r="D278" t="n" s="17">
        <v>0</v>
      </c>
      <c r="E278" t="n" s="17">
        <v>1</v>
      </c>
      <c r="F278" t="n" s="16">
        <v>0</v>
      </c>
    </row>
    <row r="279" hidden="0" ht="15" customHeight="1" spans="1:1">
      <c r="A279" t="str" s="15">
        <f>HYPERLINK("https://amazon.com/dp/B00634PLTW", "B00634PLTW")</f>
      </c>
      <c r="B279" t="s">
        <v>283</v>
      </c>
      <c r="C279" t="n" s="16">
        <v>0</v>
      </c>
      <c r="D279" t="n" s="17">
        <v>0</v>
      </c>
      <c r="E279" t="n" s="17">
        <v>0</v>
      </c>
      <c r="F279" t="n" s="16">
        <v>0</v>
      </c>
    </row>
    <row r="280" hidden="0" ht="15" customHeight="1" spans="1:1">
      <c r="A280" t="str" s="15">
        <f>HYPERLINK("https://amazon.com/dp/B0C8NYMBRR", "B0C8NYMBRR")</f>
      </c>
      <c r="B280" t="s">
        <v>284</v>
      </c>
      <c r="C280" t="n" s="16">
        <v>0</v>
      </c>
      <c r="D280" t="n" s="17">
        <v>0</v>
      </c>
      <c r="E280" t="n" s="17">
        <v>1</v>
      </c>
      <c r="F280" t="n" s="16">
        <v>0</v>
      </c>
    </row>
    <row r="281" hidden="0" ht="15" customHeight="1" spans="1:1">
      <c r="A281" t="str" s="15">
        <f>HYPERLINK("https://amazon.com/dp/B01M1VAY45", "B01M1VAY45")</f>
      </c>
      <c r="B281" t="s">
        <v>285</v>
      </c>
      <c r="C281" t="n" s="16">
        <v>0</v>
      </c>
      <c r="D281" t="n" s="17">
        <v>0</v>
      </c>
      <c r="E281" t="n" s="17">
        <v>1</v>
      </c>
      <c r="F281" t="n" s="16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Seller Central - Custom Analytics</dc:creator>
  <dc:title>Workbook</dc:title>
  <dcterms:created xsi:type="dcterms:W3CDTF">2026-08-04T08:24:43.653Z</dcterms:created>
  <dcterms:modified xsi:type="dcterms:W3CDTF">2026-08-04T08:24:43.653Z</dcterms:modified>
</cp:coreProperties>
</file>