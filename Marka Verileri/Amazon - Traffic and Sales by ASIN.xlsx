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<sst xmlns="http://schemas.openxmlformats.org/spreadsheetml/2006/main" count="659" uniqueCount="659">
  <si>
    <t>ASIN</t>
  </si>
  <si>
    <t>Item name</t>
  </si>
  <si>
    <t>Brand name</t>
  </si>
  <si>
    <t>Net ordered GMS  (TRY)</t>
  </si>
  <si>
    <t>Dispatched Units</t>
  </si>
  <si>
    <t>Shipped Avg Selling Price (ASP)</t>
  </si>
  <si>
    <t>Glance Views</t>
  </si>
  <si>
    <t>Conversion rate (%)</t>
  </si>
  <si>
    <t>Product COGS (TRY)</t>
  </si>
  <si>
    <t>Sales Discount (TRY)</t>
  </si>
  <si>
    <t>Average Cost per Unit</t>
  </si>
  <si>
    <t>Net PPM (%)</t>
  </si>
  <si>
    <t>Customer Returns Quantity</t>
  </si>
  <si>
    <t>Total</t>
  </si>
  <si>
    <t>TP-Link Deco X50(2-pack), AX3000 Tüm Ev Mesh WiFi 6 Sistemi</t>
  </si>
  <si>
    <t>TP-Link</t>
  </si>
  <si>
    <t>TP-Link Deco E4 3-Pack , AC1200 Mbps, Dual-Band, 10/100Mbps Portları, 100 Cihaza Kadar Bağlanılabilirlik, 370 m²'ye Kadar Kapsama, Mobil Uygulama ile Kolay Kurulum, Wi-Fi 5 Mesh Sistemi</t>
  </si>
  <si>
    <t>TP-Link Deco BE65 3-pack, BE9300 Mbps, 4 × 2.5 Gbps Portlar, 320 MHz Kanallar, 6 GHz Bandında Çalışır, 200 Cihaza Kadar Bağlanılabilirlik, VPN, WPA3, Üç Bantlı Wi-Fi 7 Mesh Sistemi</t>
  </si>
  <si>
    <t>TP-Link Deco X50(3-pack), AX3000 Tüm Ev Mesh WiFi 6 Sistemi</t>
  </si>
  <si>
    <t>TP-Link Archer VX1800v, AX1800 Mbps Çift Bantlı Fiber Destekli Wi-Fi 6 VDSL/ADSL Modem Router, 4 Gigabit LAN Portları + 1 USB 2.0 Port, MU-MIMO, Super VDSL, Tether Uygulaması ile Kolay Kurulum</t>
  </si>
  <si>
    <t>TP-Link Deco BE65 2-pack, BE9300 Mbps, 4 × 2.5 Gbps Portlar, 320 MHz Kanallar, 6 GHz Bandında Çalışır, 200 Cihaza Kadar Bağlanılabilirlik, VPN, WPA3, Üç Bantlı Wi-Fi 7 Mesh Sistemi</t>
  </si>
  <si>
    <t>Tapo C230, 3K 5MP, Yapay Zeka Desteği, Hareket Takibi, 360°, 12m Gece Görüşü, Çift Yönlü Sesli İletişim, Bulut/Yerel Depolama, Bebek Ağlaması Tespiti,İç Mekan Wi-Fi Güvenlik Kamerası</t>
  </si>
  <si>
    <t>Tapo</t>
  </si>
  <si>
    <t>Tapo C220, 2K 4MP, Yapay Zeka Desteği, Hareket Tespit ve Takibi, 360°, 9m Gece Görüşü, Çift Yönlü Sesli İletişim, Bulut/Yerel Depolama, Bebek Ağlaması Tespiti,İç Mekan Wi-Fi Güvenlik Kamerası</t>
  </si>
  <si>
    <t>Tapo C225, 2K QHD Wi-Fi Güvenlik Kamerası, Yapay Zeka Desteği, Hareket Tespit ve Takibi, 360°, Renkli Gece Görüşü, Çift Yönlü Sesli İletişim, Bulut/Yerel Depolama, Bebek Ağlaması Tespiti</t>
  </si>
  <si>
    <t>Tapo C200, 1080P Full HD, Hareket Tespit ve Takibi, 360°, 9m Gece Görüşü, Çift Yönlü Sesli İletişim, Sesli Alarm, Bulut/Yerel Depolama, Bebek Ağlaması Tespiti, İç Mekan Wi-Fi Güvenlik Kamerası</t>
  </si>
  <si>
    <t>TP-Link Deco BE25 3-pack, BE3600 Mbps, 2× 2.5 Gbps Portlar, AI Destekli Çoklu İşlem Kabiliyeti, 150 Cihaza Kadar Bağlanılabilirlik, VPN, WPA3, Dual-Band Wi-Fi 7 Mesh Sistemi</t>
  </si>
  <si>
    <t>TP-Link Deco M4 3-pack , AC1200 Mbps, Dual-Band, Gigabit Portları, 100 Cihaza Kadar Bağlanılabilirlik, 370 m²'ye Kadar Kapsama, Mobil Uygulama ile Kolay Kurulum, Wi-Fi 5 Mesh Sistemi</t>
  </si>
  <si>
    <t>TP-Link Archer AX55, AX3000 Mbps Dual Band Wi-Fi 6 Router, Fiber Destekli, 4× Gigabit LAN Ports, WPA3, 1× USB 3.0 Port, Oyun için İdeal Xbox/PS4/8K Steam</t>
  </si>
  <si>
    <t>Tapo C410 KIT, 2K 3MP, Renkli Gece Görüşü, Şarj Edilebilir, IP65 Sertifikalı, Yerel/Bulut Depolama, 110° Açılı, Güneş Paneli Dahil, Kablosuz Bataryalı Güvenlik Kamerası Kiti</t>
  </si>
  <si>
    <t>TP-Link Deco M4 2-pack, AC1200 Mbps, Dual-Band, Gigabit Portları, 100 Cihaza Kadar Bağlanılabilirlik, 260 m²'ye Kadar Kapsama, Mobil Uygulama ile Kolay Kurulum, Wi-Fi 5 Mesh Sistemi</t>
  </si>
  <si>
    <t>TP-Link Archer BE230, BE3600 Mbps, Fiber Destekli, 2× 2.5 Gbps WAN/LAN Port + 3× Gbps Port, VPN Destekli, HomeSheild, Easy Mesh Uyumlu, Dual-Band Wi-Fi 7 Router</t>
  </si>
  <si>
    <t>TP-Link TL-PA7017P KIT, AV1000 Gigabit Passthrough Powerline Başlangıç Kiti</t>
  </si>
  <si>
    <t>Tapo C246D | 2K 3MP Çift Lensli Akıllı Güvenlik Kamerası | Pan/Tilt | İç ve Dış Mekan | IP65 | AI Hareket, Kişi ve Evcil Hayvan Algılama | Renkli Gece Görüşü | Çift Yönlü Ses</t>
  </si>
  <si>
    <t>Tp-Link RE700X AX3000 Mbps Onemesh Wi-Fi 6 Menzil Genişletici</t>
  </si>
  <si>
    <t>TP-Link Deco BE25 2-pack, BE3600 Mbps, 2× 2.5 Gbps Portlar, AI Destekli Çoklu İşlem Kabiliyeti, 150 Cihaza Kadar Bağlanılabilirlik, VPN, WPA3, Dual-Band Wi-Fi 7 Mesh Sistemi</t>
  </si>
  <si>
    <t>Tapo C530WS, 3K 5MP, Hareket Tespit/Takibi, 360°, IP66, Renkli Gece Görüşü, Çift Yönlü Ses, Bulut/Yerel Depolama, Sesli ve Işıklı Alarm, Dış Mekan Wi-Fi/Ethernet Güvenlik Kamerası</t>
  </si>
  <si>
    <t>Tapo C460 | 4K 8MP Bataryalı Dış Mekan Güvenlik Kamerası | 10000 mAh | Starlight Renkli Gece Görüşü | AI İnsan/Evcil Hayvan/Araç Algılama |IP66| Wi-Fi | microSD &amp; Bulut | Güneş Paneli Desteği</t>
  </si>
  <si>
    <t>TP-Link Archer VR300, AC1200 Mbps Kablosuz Dual-Band Fiber Destekli VDSL/ADSL Modem Router, 4 Ethernet Portu ve 4 Harici Anten, Tether Uygulaması ile Kolay Kurulum</t>
  </si>
  <si>
    <t>TP-Link RE315 AC1200 Mbps Wi-Fi Güçlendirici - 2 Harici Anten, 1 Ethernet Bağlantı Noktası, Hotspot ve Access Point Modu, Tüm Yönlendiriciler ile Uyumlu, Wi-Fi 5 Menzil Genişletici</t>
  </si>
  <si>
    <t>Tapo C460 KIT | 4K 8MP Güneş Enerjili Güvenlik Kamerası Kiti | 10000 mAh Batarya | Starlight Renkli Gece Görüşü | AI İnsan/Evcil Hayvan/Araç Algılama | IP66 | Wi-Fi | microSD &amp; Bulut</t>
  </si>
  <si>
    <t>TP-Link Archer AX12, AX1500 Wi-Fi 6 Gigabit Portlu Kablosuz Router, Fiber Destekli, 4 Gigabit LAN Portları, WPA3, Oyun için İdeal Xbox/PS4/Steam ve 4K</t>
  </si>
  <si>
    <t>TP-Link Deco E4 (2-Pack), AC1200 Mbps Tüm Ev Mesh Wi-Fi Sistemi, Dual-Band, 10/100Mbps Portları, 100 Cihaza Kadar Bağlanılabilirlik, 260 m²'ye Kadar Kapsama, Mobil Uygulama</t>
  </si>
  <si>
    <t>TP-Link Archer BE400 | Dual-Band Wi-Fi 7 Router | Fiber Destekli | BE6500 Mbps | 1× 2.5 Gbps WAN + 1× 2.5 Gbps LAN + 3× 1 Gbps Port | 5GHz | VPN Destekli | EasyMesh Uyumlu | HomeShield</t>
  </si>
  <si>
    <t>Mercusys Halo H25BE(3-pack) | Wi-Fi 7 Mesh Sistemi | BE3600 Mbps Hız | Fiber Uyumlu | Dual-Band | 3x1G Port | 650 m² Kapsama | MLO | 320 MHz, 4K-QAM | 8K Yayın | Kolay Kurulum ve Kullanım</t>
  </si>
  <si>
    <t>MERCUSYS</t>
  </si>
  <si>
    <t>TP-Link Deco BE25 1-pack, BE3600 Mbps, 2× 2.5 Gbps Portlar, AI Destekli Çoklu İşlem Kabiliyeti, 150 Cihaza Kadar Bağlanılabilirlik, VPN, WPA3, Dual-Band Wi-Fi 7 Mesh Sistemi</t>
  </si>
  <si>
    <t>Mercusys MC510 | 2K QHD Dış Mekan Güvenlik Kamerası | 360° Görüş | Renkli Gece Görüşü | Akıllı Takip | IP65 Hava Koşullarına Dayanıklı | microSD &amp; Bulut Depolama | SmartThings, Google Home, Alexa</t>
  </si>
  <si>
    <t>Tapo P100, Akıllı Mini Wi-Fi Soketi, Amazon Alexa ve Google Home ile Çalışır, Uzaktan Kontrol, Cihaz Paylaşımı, Hub Gerekmez, 1-pack</t>
  </si>
  <si>
    <t>TP-Link TL-WPA4220KIT 300Mbps AV600 Wi-Fi Powerline Extender Başlangıç Kiti, Kablosuz Menzil Genişletici</t>
  </si>
  <si>
    <t>TP-Link TL-MR100, N300 Mbps Kablosuz 4G LTE Router, 4G/3G SIM Yuvası, 32 Cihaza Kadar Bağlantı, Yapılandırma Gerektirmez, Konuk Ağı ve Ebeveyn Kontrolü Desteği</t>
  </si>
  <si>
    <t>TP-Link TL-SX1008, 8-Port 10G Desktop/Rackmount Switch</t>
  </si>
  <si>
    <t>TP-Link Deco M4 1-pack, AC1200 Mbps, Dual-Band, Gigabit Portları, 100 Cihaza Kadar Bağlanılabilirlik, Mobil Uygulama ile Kolay Kurulum, Wi-Fi 5 Mesh Sistemi</t>
  </si>
  <si>
    <t>Tapo C510W, 2K Dış Mekan Wi-Fi Güvenlik Kamerası, Hareket Tespit/Takibi, 360°, IP65 Su Geçirmez, Renkli Gece Görüşü, Çift Yönlü Ses, Bulut/Yerel Depolama, Sesli ve Işıklı Alarm</t>
  </si>
  <si>
    <t>TP-Link Archer TX55E, AX3000 Wi-Fi 6 Bluetooth 5.2 PCIe Ağ Kartı, İki Anten, Özel Soğutucu, 1024-QAM, Ultra Düşük Gecikme, Intel Wi-Fi 6 Yonga Seti, Windows 10/11'i Destekler</t>
  </si>
  <si>
    <t>TP-Link Archer TX50UH, AX3000Mbps USB Adaptörü, Wi-Fi 6, USB 3.0, Çift Bantlı, WPA3, Beamforming, MU-MIMO</t>
  </si>
  <si>
    <t>Tapo C560WS | 4K 8MP Dış Mekan Wi-Fi 6 Güvenlik Kamerası | Yerel Yüz Tanıma | AI İnsan/Evcil Hayvan/Araç Algılama | Starlight Renkli Gece Görüşü | IP66 Su Geçirmez | microSD &amp; Bulut Depolama</t>
  </si>
  <si>
    <t>TP-Link Deco BE85 1-pack, BE19000 Mbps, 1x 10Gbps LAN/WAN Portu, 320 MHz Kanallar, 6 GHz Bandında Çalışır, 200 Cihaza Kadar Bağlanılabilirlik, VPN, WPA3, Üç Bantlı Wi-Fi 7 Mesh Sistemi</t>
  </si>
  <si>
    <t>TP-Link TL-WPA7617 KIT, AV1000 Gigabit Passthrough Powerline ac Wi-Fi Kit</t>
  </si>
  <si>
    <t>TP-Link Deco X50-Outdoor 1-Pack, AX3000 Mbps, IP65 Toza ve Suya Dayanıklılık, Dual-Band, Gigabit Bağlantı Noktaları, 230 m² 'ye Kadar Kapsama, HomeSheild, Dış Mekan/İç Mekan WiFi 6 Mesh Ünitesi</t>
  </si>
  <si>
    <t>TP-Link TL-WA850RE 300 Mbps Wifi Güçlendirici</t>
  </si>
  <si>
    <t>Tapo C425, 2K 4MP QHD, AI Desteği, Renkli Gece Görüşü, 300 Gün Şarj Süresi, Su Geçirmez, Yerel/Bulut Depolama, 150° Geniş Açılı, Solar Panel Desteği, Kablosuz Bataryalı Güvenlik Kamerası</t>
  </si>
  <si>
    <t>TP-Link Archer MR600, 4G+ Cat6 AC1200 Mbps Wireless Dual-Band Gigabit Router, 4G/3G SIM Yuvası, MU-MIMO Teknolojisi, Yapılandırma Gerektirmez, Konuk Ağı ve Ebeveyn Kontrolü Desteği</t>
  </si>
  <si>
    <t>TP-Link UH6120C, 1 HDMI, 1 100W Hızlı Şarj Portu, 1 USB-C, 2 USB-A 3.0 Port ve Type C den Gigabit Ethernet Dönüştürücü</t>
  </si>
  <si>
    <t>Tapo C250 | 4K 8MP Ultra HD Akıllı Wi-Fi Kamera | 360° | AI Otomatik Zoom ve Takip | Bebek Ağlaması Algılama | Sesli ve Işıklı Alarm | İki Yönlü Ses | Gece Görüşü | Bulut/SD Kart Depolama</t>
  </si>
  <si>
    <t>TP-Link Deco PX50 2-Pack, AX3000 + G1500, 1 GHz CPU, Powerline/Mesh, Yapay Zeka Desteği, Gigabit Portları, 150 Cihaza Kadar Bağlantı, 420 m² 'ye Kadar Kapsama, Powerline Mesh WiFi 6 Sistemi</t>
  </si>
  <si>
    <t>Tapo C545D | 2K Çift Lensli Dış Mekan Güvenlik Kamerası | 165° Geniş Açı + Telefoto Lens | IP66 | AI Takip | Renkli Gece Görüşü | Ethernet Bağlantı | İki Yönlü Ses | Yerel &amp; Bulut Depolama</t>
  </si>
  <si>
    <t>TP-Link UA430C; USB 3.0 Type-C ile SD &amp; microSD 3.0 Kart Okuyucu</t>
  </si>
  <si>
    <t>Tapo C410, 2K 3MP, Renkli Gece Görüşü, Şarj Edilebilir, Solar Panel Destekli, IP65, Yerel/Bulut Depolama, 125° Açılı, Işıklı ve Sesli Alarm, Kablosuz Bataryalı Güvenlik Kamerası</t>
  </si>
  <si>
    <t>TP-Link Archer TX20U Plus, AX1800 Mbps Çift Antenli Yüksek Kazanımlı Kablosuz USB Adaptör, 1 metre USB 3.0 kablosu, Beamforming, MU-MIMO, Düşük Gecikmeli Oyun Deneyimi, WPA3, Kolay Kurulum</t>
  </si>
  <si>
    <t>TP-Link TL-SG1016PE, 16-Port Gigabit Easy Smart Switch with 8-Port PoE+</t>
  </si>
  <si>
    <t>TP-Link UB500, Bluetooth 5.4, (PC dizüstü bilgisayar masaüstü bilgisayar için, Windows 10/8.1/8/7 Plug &amp; Play destekler), Nano USB Bluetooth Adaptör</t>
  </si>
  <si>
    <t>TP-Link Archer AX73, AX5400 Çift Bant Gigabit Wi-Fi 6 Router, Fiber Destekli, 4×Gbps LAN Portlarıları, 200'den Fazla Cihazı Bağlayın,OFDMA ve MU-MIMO Destekli, Oyun için İdeal Xbox/PS4/4K-8K Yayın</t>
  </si>
  <si>
    <t>TP-Link M7350, 150Mbps ye kadar İnternet Hızı, 10 Cihaza Kadar Bağlantı, 2000 mAh Batarya, Kurulum Gerektirmez, Mobil Uygulama Desteği, 4G Taşınabilir Mobil LTE Modem</t>
  </si>
  <si>
    <t>TP-Link Archer MR400, AC1200 Wireless Dual Band 4G LTE Router, 4G/3G SIM Yuvası, 64 Cihaza Kadar Bağlantı, Yapılandırma Gerektirmez, Konuk Ağı ve Ebeveyn Kontrolü Desteği</t>
  </si>
  <si>
    <t>Tp-link RE305, AC1200 Wi-Fi Range Extender</t>
  </si>
  <si>
    <t>TP-Link Tapo C645D KIT Güneş Enerjili Çift Lensli Pan/Tilt Güvenlik Kamerası, 2K Çözünürlük, İnsan/Araç/Evcil Hayvan Algılama, 360° Görüş, Akıllı Takip</t>
  </si>
  <si>
    <t>TP-Link AV1000 Gigabit Powerline ac Wi-Fi Kit, TL-WPA7517 KIT, Gigabit Ethernet, 750 Mbps</t>
  </si>
  <si>
    <t>TP-Link TL-SG116P, 16-Port Gigabit Desktop Switch with 16-Port PoE+</t>
  </si>
  <si>
    <t>TP-Link UE300C, USB Type-C to RJ45 Gigabit Ethernet Network Adapter</t>
  </si>
  <si>
    <t>TP-Link TL-WA855RE, N300 Mbps Wi-Fi Menzil Genişletici, 2 Harici Anten ve 1 Ethernet Bağlantı Noktalı Wi-Fi Güçlendirici/Hotspot, Access Point Modu, Tüm Wi-Fi Yönlendiriciler ile Çalışır</t>
  </si>
  <si>
    <t>TP-Link Archer TX20E, AX1800 Wi-Fi 6 Bluetooth 5.2 PCIe Ağ Kartı</t>
  </si>
  <si>
    <t>Tapo C260 | Akıllı Wi-Fi Güvenlik Kamerası | 4K 8MP | Yüz Tanıma | AI Algılama | Gelişmiş Gece Görüşü | Fiziksel Gizlilik | 360° Görüntüleme | Çift Yönlü Ses | microSD &amp; Bulut Destekli</t>
  </si>
  <si>
    <t>TP-Link UH400, 5Gbps Transfer Hızlı Tak ve kullan 4-Port USB 3.0 Hub</t>
  </si>
  <si>
    <t>TP-Link Deco BE65 1-pack, BE9300 Mbps, 4 × 2.5 Gbps Portlar, 320 MHz Kanallar, 6 GHz Bandında Çalışır, 200 Cihaza Kadar Bağlanılabilirlik, VPN, WPA3, Üç Bantlı Wi-Fi 7 Mesh Sistemi</t>
  </si>
  <si>
    <t>Tapo C425 KIT, 2K 4MP QHD, AI Desteği, Renkli Gece Görüşü, Şarj Edilebilir, Su Geçirmez, Yerel/Bulut Depolama, 150° Geniş Açılı, Güneş Paneli Dahil, Kablosuz Bataryalı Güvenlik Kamerası Kiti</t>
  </si>
  <si>
    <t>Kablosuz Wifi Alıcı AC1300 Mbps Dual Band USB 3.0 Adaptör</t>
  </si>
  <si>
    <t>TP-Link TL-SG108E, 8-Port Gigabit Easy Smart Switch</t>
  </si>
  <si>
    <t>TP-Link TL-SG108-M2, 8-Port 2.5G Desktop Switch</t>
  </si>
  <si>
    <t>TP-Link UH5020C | USB-C 5-in-1 Hub | 4K@60Hz HDMI | 100W Hızlı Şarj | 2× USB-A Port | 1× USB-C Port | Tak &amp; Çalıştır | Windows | Mac | Linux &amp; Mobile Uyumlu</t>
  </si>
  <si>
    <t>TP-Link UE300, USB 3.0 RJ45 Gigabit Ethernet Network Çevirici</t>
  </si>
  <si>
    <t>TP-Link TL-SG105, 5-Port 10/100/1000Mbps Gigabit Siwtch</t>
  </si>
  <si>
    <t>TP-Link RE200 Dual Band 750 Mbps Wifi Güçlendirici</t>
  </si>
  <si>
    <t>TP-Link TL-WPA7817 KIT, AV1000&amp;AX1500 Mbps, 1× Gigabit Portlu, 4K Video ve Online Oyunlarda Yüksek Performans, EasyMesh Destekli, Tak ve Çalıştır, Powerline Adaptör Kiti</t>
  </si>
  <si>
    <t>TP-Link UE306, USB 3.0 - Gigabit Ethernet Ağ Adaptörü</t>
  </si>
  <si>
    <t>TP-Link LS1005G Ethernet Çevirici 5 Port 10/100/1000 Mbps</t>
  </si>
  <si>
    <t>Mercusys MA32H, AC1300 Mbps, Çift Bant, USB 3.0, Yüksek Çekim Güçlü Wi-Fi 5 USB Adaptör</t>
  </si>
  <si>
    <t>Tapo C400 | 1080p 2MP Dış Mekan Güvenlik Kamerası | 180 Gün Pil Ömrü | Kişi Algılama | Renkli Gece Görüşü | IP65 | microSD &amp; Bulut Depolama | 10000mAh Batarya</t>
  </si>
  <si>
    <t>Tapo TP-Link T300, Akıllı Su Sızıntı Algılama Sensörü, IP67 Su Geçirmez, Anlık Uygulama Bildirimi, 90dB'ye Kadar Alarm, Damlama ve Sızıntı Uyarısı</t>
  </si>
  <si>
    <t>TP-Link TL-PA4010PKIT, AV600 AC Güç Soketli Powerline Adaptör Başlangıç Kiti</t>
  </si>
  <si>
    <t>TP-Link LS105GP | 5-Port Gigabit PoE+ Switch | 65W PoE Bütçesi, 250m İletim, Tak ve Çalıştır | Fansız, Sessiz Metal Kasa | IP Kamera &amp; AP Uyumlu Ağ Anahtarı</t>
  </si>
  <si>
    <t>TP-Link Archer TBE400UH - Wi-Fi 7 Yüksek Çekim Güçlü Wi-Fi USB Adaptör, BE6500 Mbps, Tri-Band, USB 3.0, Çoklu Bağlantı İşlemi, Geniş Menzil, Online Oyun İçin İdeal, MU-MIMO ve OFDMA Destekli</t>
  </si>
  <si>
    <t>TP-Link Festa F65, AX3000Mbps, 1 Gigabit Port, Festa Mesh, Kesintisiz Dolaşım, MU-MIMO, 250 Cihaza Kadar Bağanlantı, Ücretsiz Bulut Yönetimi, PoE+ Destekli, Dual-Band Wi-Fi 6 Tavan Tipi Access Point</t>
  </si>
  <si>
    <t>TL-PA8033P KIT, AV1300 3-Port Gigabit Passthrough Powerline Starter Kit</t>
  </si>
  <si>
    <t>TP-Link TL-PA4010KIT, AV600 Nano Powerline Adaptör Başlangıç Kiti</t>
  </si>
  <si>
    <t>TP-Link Deco X10 1-pack, AX1500 Mbps, 190 m²'ye kadar Kapsama Alanı, 120 Cihaza Kadar Bağlantı, Gigabit Portlu, Mobil Uygulama ile Kolay Kurulum,Yapay Zeka Destekli Wi-Fi 6 Mesh Sistemi</t>
  </si>
  <si>
    <t>TP-Link UB500 Plus, Ayarlanabilir Harici Antenli, Yüksek Çekim Güçlü Bluetooth 5.4 USB Adaptör</t>
  </si>
  <si>
    <t>TP-Link TL-WR902AC, AC750 Mbps Wireless Travel Router</t>
  </si>
  <si>
    <t>TP-Link Archer T2U Plus, AC 600 Mbps Antenli Wireless USB Adaptör</t>
  </si>
  <si>
    <t>TP-Link ER707-M2, Omada Multi-Gigabit VPN Router</t>
  </si>
  <si>
    <t>TP-Link Archer MR200, AC750 Mbps Kablosuz Dual Band 3G/4G LTE Router, Çift Bantlı</t>
  </si>
  <si>
    <t>TP-Link Tapo C216 | İç ve Dış Mekan Wi-Fi Güvenlik Kamerası | 2K 3MP Netlik | 360° Pan/Tilt Hareketli | Renkli Gece Görüşü | AI Bebek Ağlaması ve Kişi Algılama | Akıllı Takip | Bulut/SD Kart Depolama</t>
  </si>
  <si>
    <t>Tp-link CPE210, 300Mbps 9dBi Dış Mekan CPE</t>
  </si>
  <si>
    <t>TP-Link LS105G, 5-Port 10/100/1000 Mbps Gigabit Ethernet Switch, 5 Bağlantılı Harici Güç Adaptörü</t>
  </si>
  <si>
    <t>TP-Link TL-SG116E, 16-Port Gigabit Unmanaged Pro Switch</t>
  </si>
  <si>
    <t>TP-Link Archer TBE400E | BE6500 Wi-Fi 7 PCIe Adaptör | Bluetooth 5.4 | Üç Bant 2882 + 2882 + 688 Mbps | Çift Anten | WPA3 Güvenlik | OFDMA &amp; MU-MIMO | Windows 11 64-bit Uyumluluk</t>
  </si>
  <si>
    <t>TP-Link Archer TX10UB Nano | Wi-Fi 6 &amp; Bluetooth 5.3 USB Adaptör | AX900 Mbps | Çift Bant | İkisi Bir Arada | Kolay Kurulum | Windows Uyumlu</t>
  </si>
  <si>
    <t>TP-Link TL-SX105, 5-Port 10G Desktop Switch</t>
  </si>
  <si>
    <t>TP-Link Deco PX50 3-Pack, AX3000 + G1500, 1 GHz CPU, Powerline/Mesh, Yapay Zeka Desteği, Gigabit Portları, 150 Cihaza Kadar Bağlantı, 600 m² 'ye Kadar Kapsama, Powerline Mesh WiFi 6 Sistemi</t>
  </si>
  <si>
    <t>TP-Link Deco E4 1-Pack , AC1200 Mbps, Dual-Band, 10/100Mbps Portları, 100 Cihaza Kadar Bağlanılabilirlik, Mobil Uygulama ile Kolay Kurulum, Wi-Fi 5 Mesh Sistemi</t>
  </si>
  <si>
    <t>TP-Link Deco X10 2-pack, AX1500 Mbps, 360 m²'ye kadar Kapsama Alanı, 120 Cihaza Kadar Bağlantı, Gigabit Portlu, Mobil Uygulama ile Kolay Kurulum,Yapay Zeka Destekli Wi-Fi 6 Mesh Sistemi</t>
  </si>
  <si>
    <t>TP-Link WiFi Stick 6 güçlü AX1800Mbps, Archer TX20U, WLAN USB adaptörü, WLAN dongle, USB 3.0 Dual-Band, 2.4G/5GHz, MU-MIMO, WPA3, Windows 11/10 ile uyumlu</t>
  </si>
  <si>
    <t>TP-Link Archer TX20U Nano, AX1800 Mbps, Çift Bant, MU-MIMO, USB 2.0, WPA3, Windows 10/11 Uyumlu, Wi-Fi 6 Nano USB Adaptör</t>
  </si>
  <si>
    <t>Mercusys MT110, 4G Taşınabilir Mobil Modem, 150Mbps ye kadar İnternet Hızı, 10 Cihaza Kadar Bağlantı, 2200 mAh Batarya, Kurulum Gerektirmez, Mobil Uygulama Desteği</t>
  </si>
  <si>
    <t>TP-Link Archer BE220, BE3600 Mbps, Fiber Destekli, 4× Gbps Port, VPN Destekli, HomeSheild, Easy Mesh Uyumlu, Dual-Band Wi-Fi 7 Router</t>
  </si>
  <si>
    <t>Mercusys MA530, Bluetooth 5.3, Nano USB Adaptör</t>
  </si>
  <si>
    <t>Tapo C310, 2K 3MP Dış Mekan Wi-Fi/Ethernet Güvenlik Kamerası, Hareket Algılama, IP66 Su Geçirmez, 30m Gece Görüşü, Çift Yönlü Ses, Bulut/Yerel Depolama, Sesli ve Işıklı Alarm</t>
  </si>
  <si>
    <t>TP-Link Archer TX50E, AX3000 Mbps Wi-Fi 6 Bluetooth 5.0 PCIe Ağ Kartı, İki Anten, 1024-QAM,OFDMA ve 160 MHz Bant Genişliği, Ultra Düşük Gecikme, Intel Wi-Fi 6 Yonga Seti, Windows 10/11'i Destekler</t>
  </si>
  <si>
    <t>TP-Link ER706W-4G, Omada 4G+ Cat6 AX3000 Gigabit VPN Router</t>
  </si>
  <si>
    <t>TP-Link EH210 Gigabit Ethernet Splitter 1 to 2, RJ45 LAN Çoğaltıcı 1000 Mbps, USB-C Güçlü, Dual Port Ethernet Bölücü, Tak Çalıştır Network Splitter</t>
  </si>
  <si>
    <t>TP-Link LS1016G; 16-Port Gigabit Portlu, Metal Kasalı, QoS Özellikli, Kurulum Gerektirmeyen Tak ve Çalıştır Özellikli Switch</t>
  </si>
  <si>
    <t>Mercusys Halo H60X 3-pack, AX1500Mbps, Dual-Band, Gigabit Portları, 100'e Kadar Cihaz Bağlanabilir, 550 m²'ye Kadar Kapsama, Akıllı Bağlantı, Mobil Uygulama ile Kolay Kurulum, Wi-Fi 6 Mesh Sistemi</t>
  </si>
  <si>
    <t>TP-Link TL-SG105PE, 5-Port Gigabit Easy Smart Switch with 4-Port PoE+</t>
  </si>
  <si>
    <t>Mercusys MB110-4G, 300 Mbps Kablosuz N 4G LTE Router</t>
  </si>
  <si>
    <t>TP-Link UH9120C, 4K 60Hz HDMI, Gigabit RJ45 Port, 100W Hızlı Şarj, SD ve MicroSD Kart Yuvası, 5Gbps Data Transfer Hızı, 9'u Bir Arada USB-C Hub</t>
  </si>
  <si>
    <t>TP-Link TD-W9970, 300Mbps Fiber Modem/Router,EWAN, VPN, Ebeveyn Kontrolü, VDSL, ADSL2+, USB port</t>
  </si>
  <si>
    <t>TP-Link Deco X10 3-pack , AX1500 Mbps, 520 m²'ye kadar Kapsama Alanı, 120 Cihaza Kadar Bağlantı, Gigabit Portlu, Mobil Uygulama ile Kolay Kurulum,Yapay Zeka Destekli Wi-Fi 6 Mesh Sistemi</t>
  </si>
  <si>
    <t>Mercusys MT115 | 4G LTE Mobil Wi-Fi 6 Taşınabilir Modem | 150 Mbps 4G Hızı | 2400 mAh Pil ile 10 Saat Kullanım | Bilgi Ekranlı | 10 Cihaz Desteği | SIM Girişli Cep Wi-Fi | Mercusys App Kontrol</t>
  </si>
  <si>
    <t>TP-Link UA520C, USB Type-C den 4K@60Hz HDMI Dönüştürücü</t>
  </si>
  <si>
    <t>TP-Link TL-WR1502X, AX1500Mbps, 1 Gigabit WAN ve 1 Giabit Lan Port, Power Bank ile Çalışabilen All-in-One(Router, 3G/4G USB Modem, Hotspot, Acess Point, Menzil Genişletici) Taşınabilir Wi-Fi 6 Router</t>
  </si>
  <si>
    <t>TP-Link M7000, 4G LTE Mobil Wi-Fi Router</t>
  </si>
  <si>
    <t>TP-Link Deco X50-PoE 2-pack, AX3000 Mbps, PoE Destekli, Dual-Band, 2,5Gbps Ethernet Portu, 150 Cihaza Kadar Bağlantı, 420 m² 'ye Kadar Kapsama, Mobil Uygulama ile Kolay Kurulum, Wi-Fi 6 Mesh Sistemi</t>
  </si>
  <si>
    <t>TP-Link TL-SG105E, 5-Portlu Gigabit Easy Smart Switch</t>
  </si>
  <si>
    <t>Mercusys Halo H47BE(2-Pack) | Wi-Fi 7 Mesh Sistemi | BE9300 Mbps Hız | Fiber Uyumlu | Üç Bant | 3x 2.5G Port | 6 GHz | MLO | WPA3 | 550 m² Kapsama | Windows &amp; Mobil Uyumlu</t>
  </si>
  <si>
    <t>TP-Link UE302C, USB Type-C den 2.5 Gigabit Ethernet Adaptörü</t>
  </si>
  <si>
    <t>TP-Link RE235BE | BE3600 Wi-Fi 7 Menzil Genişletici | 3.6 Gbps Çift Bant (2882 Mbps + 688 Mbps) | 2.5G Ethernet Port | MLO Desteği | EasyMesh Uyumlu | Akıllı Dolaşım | Kolay Kurulum</t>
  </si>
  <si>
    <t>Mercusys ME80X, AX3000 Mbps, 1 Gigabit Bağlantı Noktası ve 2 Harici Anten, Dahili Access Point Modu, Tek Tuşla Kolay Kurulum, Mobil Uygulama Desteği, Dual-Band Wi-Fi 6 Menzil Genişletici</t>
  </si>
  <si>
    <t>TP-Link UH7020C, 4K 60Hz HDMI, Gigabit RJ45 Port, 100W Hızlı Şarj, SD ve MicroSD Kart Yuvası, 5Gbps Data Transfer Hızı, 7'si Bir Arada USB-C Hub</t>
  </si>
  <si>
    <t>TP-Link Tapo C245D | 2K 3MP Çift Lensli Akıllı Güvenlik Kamerası | 360° | Geniş Açı ve Tele-Lens | Akıllı Hareket Takibi | AI Kişi ve Bebek Ağlaması Algılama | Çift Ekran İzleme|Bulut/SD Kart</t>
  </si>
  <si>
    <t>Mercusys MC230 | 3K 5MP Ultra HD Akıllı Wi-Fi Güvenlik Kamerası | 360° | 13.5x Zoom | Yapay Zeka Kişi ve Evcil Hayvan Algılama | Bebek Ağlama Sesi Duyarlı | Gece Görüşlü | Bulut/SD Kart Depolama</t>
  </si>
  <si>
    <t>TP-Link TL-SG1005D, 5-Portlu Gigabit Masaüstü Switch</t>
  </si>
  <si>
    <t>TP-Link CPE610, 5GHz 300Mbps 23dBi Dış Mekan CPE</t>
  </si>
  <si>
    <t>Tapo C222, 2K 4MP, Yapay Zeka Desteği, Hareket Takibi, 360°, 9m Gece Görüşü, Çift Yönlü Sesli İletişim, Bulut/Yerel Depolama, Bebek Ağlaması Tespiti,İç Mekan Wi-Fi/Ethernet Güvenlik Kamerası</t>
  </si>
  <si>
    <t>TP-Link UH3020C, 4K 60Hz HDMI, 100W Hızlı Şarj, 1x Type-A, 3'ü Bir Arada USB-C Hub</t>
  </si>
  <si>
    <t>TP-Link Archer T2U, 600Mbps Kablosuz Dual Band USB Adaptör</t>
  </si>
  <si>
    <t>TP-Link CPE220, 2.4GHz 300Mbps 12dBi Antenli Dış Mekan CPE/Access Point</t>
  </si>
  <si>
    <t>Tapo S210, Akıllı Işık Anahtarı, Uzaktan Kumanda, Aletsiz Pil Değiştirme, Nötr Gerekmez, Tüm ampullerle uyumlu, Alexa ve Google Home ile Çalışır, Tapo Hub Gereklidir Ayrıca Satılır</t>
  </si>
  <si>
    <t>TP-Link Archer TX35U Plus | AX1800 Wi-Fi 6 Kablosuz USB Adaptör | 1800 Mbps Hız | Çift Bant | Yüksek Çekim Güçlü Anten | USB 3.0 | WPA3 | Beamforming &amp; MU-MIMO | Masaüstü ve Laptop PC Alıcı</t>
  </si>
  <si>
    <t>TP-Link LS1024G | 24 Port Gigabit Switch | Masaüstü &amp; Rackmount | Tak ve Çalıştır | QoS Desteği | Enerji Verimli | Sessiz Fansız Tasarım | Metal Kasa | 10/100/1000 Mbps</t>
  </si>
  <si>
    <t>TP-Link TL-SG1016DE, 16-Port Gigabit Easy Smart Switch</t>
  </si>
  <si>
    <t>TP-Link ER605; Omada Gigabit VPN Router</t>
  </si>
  <si>
    <t>Mercusys MS110CP | 10 Port PoE+ Switch | 8 Port PoE Kamera Switch | 2 Gigabit Uplink | 65W | 250m Extend | VLAN | Network Switch | Güvenlik Sistemi Uyumlu</t>
  </si>
  <si>
    <t>TP-Link M7750 | 600 Mbps LTE-Advanced Mobile WiFi | 4G Cat12 Modem | Çift Bant 867 Mbps + 300 Mbps | 32 Cihaz Desteği | 3280 mAh Batarya | 15 Saate Kadar Kullanım | MicroSD | tpMiFi Uygulaması</t>
  </si>
  <si>
    <t>TP-Link Archer T3U, AC1300 Mini Wireless MU-MIMO USB Adaptör</t>
  </si>
  <si>
    <t>TP-Link TX201, 2.5 Gigabit PCIe Ağ Adaptörü</t>
  </si>
  <si>
    <t>Tapo S200B, Akıllı Buton, Özelleştirilmiş Eylemler, Akıllı Kontrol, Tek Tıklamayla Alarm Aktivasyonu, Uzun Ömürlü Pil, Tapo Hub Gereklidir Ayrıca Satılır</t>
  </si>
  <si>
    <t>TP-Link LS1008G Ethernet Çevirici 8 Port, 10/100/1000 Mbps</t>
  </si>
  <si>
    <t>TP-Link Tl-Wn725N, 150Mbps Kablosuz N Nano Usb Adaptör</t>
  </si>
  <si>
    <t>TP-Link Deco X50-PoE 1-pack, AX3000 Mbps, PoE Destekli, Dual-Band, 2,5Gbps Ethernet Portu, 150 Cihaza Kadar Bağlantı, 230 m² 'ye Kadar Kapsama, Mobil Uygulama ile Kolay Kurulum, Wi-Fi 6 Mesh Sistemi</t>
  </si>
  <si>
    <t>TP-Link Archer C50, AC1200 Mbps Kablosuz Dual-Band Router, MU-MIMO, Beamforming, All-in-one( Router, Access Point, Range Extender) Modları</t>
  </si>
  <si>
    <t>TP-Link TG-3468, 10/100/1000Mbps Gigabit PCI Express Network Adaptör</t>
  </si>
  <si>
    <t>Mercusys ME60X, AX1500 Çift Bantlı Wi-Fi 6 Menzil Genişletici, 1 Gigabit Bağlantı Noktası ve 2 Harici Anten ile Geniş Bant/Wi-Fi Güçlendirici/Hotspot, Access Point Modu</t>
  </si>
  <si>
    <t>TP-Link TL-PA7017 KIT, AV1000 Gigabit Powerline Başlangıç Kiti</t>
  </si>
  <si>
    <t>Mercusys MW305R, 300 Mbps Kablosuz N Yönlendirici</t>
  </si>
  <si>
    <t>TP-Link Archer TX20UH, AX1800 Yüksek Kazançlı Kablosuz USB Adaptör, 1,2 metre USB 3.0 kablosu, Beamforming Teknolojisi, MU-MIMO, Düşük Gecikmeli Oyun Deneyimi, WPA3, Kolay Kurulum</t>
  </si>
  <si>
    <t>TP-Link ER706W, Omada AX3000 Gigabit VPN Router</t>
  </si>
  <si>
    <t>TP-Link TL-WA1201, AC1200 Mbps Kablosuz Access Point, Pasif PoE'yi destekler, Erişim Noktasını, Menzil Genişleticiyi, Çoklu SSID'yi destekler, Artırılmış Kapsama Alanı</t>
  </si>
  <si>
    <t>TP-Link Festa F52, AC1350Mbps, 1 Gigabit Port, Festa Mesh, Kesintisiz Dolaşım, MU-MIMO, Ücretsiz Bulut Yönetimi, PoE ve Pasif PoE Destekli, Dual-Band Wi-Fi 5 Tavan Tipi Access Point</t>
  </si>
  <si>
    <t>TP-Link TL-WA3001; AX3000 Mbps, Gigabit Portlu, Pasif PoE'yi destekler, Erişim Noktasını, Menzil Genişleticiyi, Çoklu SSID'yi destekler, Artırılmış Kapsama Alanı, Dual-Band Wi-Fi 6 Access Point</t>
  </si>
  <si>
    <t>TP-Link Festa F65-Outdoor, AX3000Mbps, 1 Gigabit Port, Festa Mesh, Kesintisiz Dolaşım,IP67 Sertifikalı, Ücretsiz Bulut Yönetimi, 802.3at ve Pasif PoE Destekli, Dual-Band Wi-Fi 6 Dış Mekan Access Point</t>
  </si>
  <si>
    <t>TP-Link TL-ER7206, SafeStream Gigabit Multi-WAN VPN Router</t>
  </si>
  <si>
    <t>Tapo TP-Link L535E, Matter Wi-Fi LED Akıllı Ampul, Çok Renkli, E27,75W 806 Amazon Alexa ve Google Home ile Çalışır, Renk Değiştirilebilir, Hub Gerekmez</t>
  </si>
  <si>
    <t>Tp-link CPE510, 5GHz 13dBi Outdoor CPE</t>
  </si>
  <si>
    <t>TP-Link Deco BE25 Outdoor(1-pack) | Wi-Fi 7 Mesh Sistemi | BE3600 Mbps Hız | Çift Bant | 2x 2.5G Port | IP65 Su &amp; Toz Geçirmez | MLO | AI Dolaşım | PoE Destekli</t>
  </si>
  <si>
    <t>TP-Link TD-W9960, 300Mbps Wireless N VDSL/ADSL Modem Router</t>
  </si>
  <si>
    <t>TP-Link TL-MR6400, N300 Mbps Kablosuz 4G LTE Router, 4G/3G SIM Yuvası, Yapılandırma Gerektirmez, Konuk Ağı ve Ebeveyn Kontrolü Desteği</t>
  </si>
  <si>
    <t>TP-Link Archer Air R5, AX3000 Dual-Band Wi-Fi 6 Air Router&amp;Menzil Genişletici, Gigabit Port, Ultra İnce Tasarım, EasyMesh Destekli, Xbox/PS/Steam için İdeal, HomeShield, Esnek Kurulum Seçenekleri</t>
  </si>
  <si>
    <t>Mercusys Halo H37BE(2-pack) | Wi-Fi 7 Mesh Sistemi | BE6500 Mbps Hız | Fiber Uyumlu | Dual-Band | 2× 2.5G Port | 4K-QAM | MLO| 650 m² Kapsama | Mobil Uygulama ile Kolay Kurulum – Güçlü ve Hızlı Ev Ağı</t>
  </si>
  <si>
    <t>TP-Link TL-SG105-M2, 5-Port 2.5G Desktop Switch</t>
  </si>
  <si>
    <t>TP-Link MC200CM, Gigabit Multi-Mode Medya Dönüştürücü</t>
  </si>
  <si>
    <t>Mercusys MC210 | 2K 3MP Güvenlik Wi-Fi Kamerası | 360° Görüş | Gece Görüşü | Akıllı Hareket &amp; Kişi Algılama | Çift Yönlü Ses | microSD &amp; Bulut Depolama | SmartThings, Alexa, Google Assistant Uyumlu</t>
  </si>
  <si>
    <t>Tapo C500, 1080P Full HD Dış Mekan Wi-Fi Güvenlik Kamerası, Hareket Tespit/Takibi, 360°, IP65 Su Geçirmez, Gece Görüşü, Çift Yönlü Ses, Bulut/Yerel Depolama, Sesli ve Işıklı Alarm</t>
  </si>
  <si>
    <t>TP-Link TL-SG1016D, 16-Port Gigabit Masaüstü/Rackmount Switch</t>
  </si>
  <si>
    <t>TP-Link TAPO C110 WiFi Güvenlik Kamerası</t>
  </si>
  <si>
    <t>TP-Link Archer GE550 | Wi-Fi 7 Gaming Router | 9300 Mbps Hız | Üç Bant | 5G/2.5G Port | EasyMesh | MLO | RGB Aydınlatma | Oyun Hızlandırma | HomeShield</t>
  </si>
  <si>
    <t>Mercusys MA30H, AC1300 Mbps, Çift Bant, USB 3.0, Yüksek Çekim Güçlü Wi-Fi 5 USB Adaptör</t>
  </si>
  <si>
    <t>TP-Link TL-SF1048, 48-Portlu 10/100Mbps Rackmount Switch</t>
  </si>
  <si>
    <t>TP-Link TL-SF1024D, 24-Portlu 10/100Mbps Desktop/Rackmount Switch</t>
  </si>
  <si>
    <t>Tapo C320WS, 2K 4MP Dış Mekan Wi-Fi/Ethernet Güvenlik Kamerası, Hareket Algılama, IP66 Su Geçirmez, 30m Starlight Gece Görüşü, Çift Yönlü Ses, Bulut/Yerel Depolama, Sesli ve Işıklı Alarm</t>
  </si>
  <si>
    <t>Tapo C465 | 4K 8MP Ultra HD Güneş Panelli Kablosuz Kamera | Dahili Solar Panel | 180 Gün Pil Ömrü | Hırsızlık Korumalı | Dual-Band Wi-Fi | AI Kişi/Araç Algılama | IP65 | Bulut/SD Kart Depolama</t>
  </si>
  <si>
    <t>TP-Link TL-WA801N, 300Mbps Wireless N Access Point</t>
  </si>
  <si>
    <t>TP-Link Archer T3U, AC1300 Mbps, Çift Bant, USB 2.0, Nano Wi-Fi 5 USB Adaptör</t>
  </si>
  <si>
    <t>TP-Link Tapo S200D, Uzaktan Kontrol Edilebilen Akıllı Işık Düğmesi, Gerçek Zamanlı Bildirimler, Kabloya Gerek Yok, Pil dahil, Kolay Kurulum ve Kullanım, Tapo Hub Gereklidir Ayrıca Satılır</t>
  </si>
  <si>
    <t>Mercusys MA30E, AC1200MBPS Ikisi Bir Arada Wi-Fi 5 &amp; Bluetooth 5.0 Pcıe Ağ Kartı</t>
  </si>
  <si>
    <t>TP-Link UH7021C | USB-C 7’si 1 Arada Hub | 4K@60Hz HDMI, 100W PD, 3× USB 3.0, SD &amp; microSD UHS-I (200 MB/s), Tak-Çalıştır, Alüminyum Tasarım</t>
  </si>
  <si>
    <t>Mercusys MR37BE Wi-Fi 7 Router | BE6500 Mbps Hız | Dual-Band | Fiber Destekli | 2× 2.5G Port, 2× Gigabit Port | 6 Anten | MLO | EasyMesh | Geniş Kapsama | Hızlı 4K/8K Streaming &amp; Oyun | Kolay Kurulum</t>
  </si>
  <si>
    <t>TP-Link LS105LP | 5-Port 10/100Mbps PoE Switch | 4-Port PoE, 41W Güç Bütçesi, 250m İletim | Tak ve Çalıştır, Sessiz Metal Kasa | IP Kamera ve AP Uyumlu</t>
  </si>
  <si>
    <t>TP-Link TL-SM5310-T, 10G Base-T RJ45 SFP+ Module</t>
  </si>
  <si>
    <t>Tapo L530E 3.0, Matter Wi-Fi LED Akıllı Ampul, Çok Renkli, E27,60W 806 Amazon Alexa ve Google Home ile Çalışır, Renk Değiştirilebilir, Hub Gerekmez</t>
  </si>
  <si>
    <t>Mercusys MA14H | AX300 Wi-Fi 6 Kablosuz USB Adaptör | Yüksek Kazançlı Anten | Dahili Sürücü Tak Çalıştır | Windows ve Linux Uyumlu | Güçlü Sinyal Alıcı | Masaüstü ve Laptop Wi-Fi Alıcı</t>
  </si>
  <si>
    <t>TP-Link RE300 | Wi-Fi 5 Menzil Genişletici | AC1200 Mbps | EasyMesh | Dual Band | Kolay Kurulum | Tüm Modem ve Router Modelleri ile Uyumludur</t>
  </si>
  <si>
    <t>TP-Link LS1008, 8-Port 10/100 Mbps Fast Ethernet Switch, 8 Bağlantılı Ethernet Çevirici, Beyaz</t>
  </si>
  <si>
    <t>Tapo S220, Akıllı Işık Anahtarı, Uzaktan Kumanda, Aletsiz Pil Değiştirme, Nötr Gerekmez, Tüm ampullerle uyumlu, Alexa ve Google Home ile Çalışır, Tapo Hub Gereklidir Ayrıca Satılır</t>
  </si>
  <si>
    <t>TP-Link TL-SF1005D TP-LINK TL-SF1005D 5-Port 10/100Mbps Tak ve Kullan % 60 Enerji Tasarruflu Switch</t>
  </si>
  <si>
    <t>TP-Link Deco BE22 (3-Pack) | Wi-Fi 7 Mesh Sistemi | BE3600 Mbps | Fiber Uyumlu | Çift Bant | AI-Roaming | 2 Adet Gigabit Port | 200 Cihaz | WPA3 | VPN | Mobil Uygulama ile Kolay Kurulum</t>
  </si>
  <si>
    <t>TP-Link Tapo C113 | 2K Akıllı İç Mekan Güvenlik Kamerası | 2304×1296 Çözünürlük | Wi-Fi IP Kamera | Gece Görüş | Hareket Algılama | İki Yönlü Ses | Tapo Uygulama Desteği</t>
  </si>
  <si>
    <t>TP-Link LS1005 Ethernet Çevirici 5 Port, 10/100 Mbps, Beyaz</t>
  </si>
  <si>
    <t>Mercusys MR25BE; BE3600 Mbps, Fiber Destekli, 4× 10/100/1000Mbps Port, Easy Mesh Uyumlu, Dual-Band Wi-Fi 7 Router</t>
  </si>
  <si>
    <t>TP-Link TL-WN722N, N150 Mbps Yüksek Kazanımlı Kablosuz USB Adaptör, 4dBi Ayrılabilir Anten</t>
  </si>
  <si>
    <t>TP-Link Archer TBE400U USB 3.0 Wi-Fi 7 Tri-Band Kablosuz Adaptör, BE6500, 6 GHz/5 GHz/2.4 GHz, 72x24x10.8 mm</t>
  </si>
  <si>
    <t>TP-Link TL-SG1008MP, 8-Port Gigabit Desktop/Rackmount Switch with 8-Port PoE+</t>
  </si>
  <si>
    <t>Mercusys MS116GS; 16-Port Gigabit Portlu, Metal Kasalı, QoS Özellikli, Kurulum Gerektirmeyen Tak ve Çalıştır Özellikli Switch</t>
  </si>
  <si>
    <t>TP-Link Archer T2U Nano, AC600 Nano Wireless USB Adaptör</t>
  </si>
  <si>
    <t>TP-Link TL-WA854RE N300 Mbps Wi-Fi Menzil Genişletici, 300Mbps Veri Aktarım Hızı</t>
  </si>
  <si>
    <t>TP-Link TL-WN823N, 300 Mbps N Kablosuz WPS/Soft AP Mini USB Adaptör</t>
  </si>
  <si>
    <t>TP-Link RE655BE, BE9300 Mbps, 1× 2.5G Gigabit LAN Portu, 6GHz / 320MHz, EasyMesh Destekli, 4 Adet Harici Anten ile Geniş Kapsama Alanı, Tri-Band Wi-Fi 7 Menzil Genişletici</t>
  </si>
  <si>
    <t>TP-Link Archer TX23U WiFi 6 USB Adaptör AX1800 (1800 Mbps), Mini Nano Tasarım, Dual Band 5GHz/2.4GHz, USB 3.0, WPA3 Güvenlik, MU-MIMO OFDMA, Windows 11/10 Uyumlu Kablosuz Adaptör</t>
  </si>
  <si>
    <t>TP-Link TL-MR100-Outdoor | 4G LTE 300 Mbps Wi-Fi Outdoor Router | IP65 Dış Mekan Koruma | PoE/DC Güç Desteği | SIM Kartlı Tak-Çalıştır | Yıldırım &amp; ESD Koruması | Tether App ile Kolay Kurulum</t>
  </si>
  <si>
    <t>Tapo T100, Hassasiyet Kontrolü, Pil Dahil, Kolay Kurulum, Alexa ile Çalışır, Diğer Ürünleri ile Aksiyon Tetikleme, Hub Gereklidir Ayrıca Satılır, Akıllı Hareket Sensörü</t>
  </si>
  <si>
    <t>TP-Link TL-MR150, N300 Mbps Kablosuz 4G LTE Router, 4G/3G SIM Yuvası, 32 Cihaza Kadar Bağlantı, Yapılandırma Gerektirmez, Konuk Ağı ve Ebeveyn Kontrolü Desteği</t>
  </si>
  <si>
    <t>TP-Link Archer TX1U Nano; AX300 Mbps, Nano Tasarım, Tak ve Çalıştır, Linux ve Windows(11/10/7) Destekli, Wi-Fi 6 USB Adaptör</t>
  </si>
  <si>
    <t>TP-Link Tapo RVB102 | Robot Süpürge Şarj Ünitesi | RV30 Max &amp; RV20 Max Serisi ile Uyumlu | Güç Kablosu Dahil</t>
  </si>
  <si>
    <t>TP-Link TL-SF1008D 8-Portlu 10/100Mbps Masaüstü Switch</t>
  </si>
  <si>
    <t>Mercusys MA14N | AX300 Mbps Nano USB Wi‑Fi 6 Adaptör | Kolay Kurulum | Windows &amp; Linux Uyumlu | Tak‑Çalıştır</t>
  </si>
  <si>
    <t>Tp-link Archer VR600 AC1600 Kablosuz Gigabit VDSL/ADSL Modem Router, Siyah/Gümüş</t>
  </si>
  <si>
    <t>Tapo C660 KIT | 4K 8MP Güneş Enerjili Güvenlik Kamerası Kiti | 360° AI Takip | Çift Bant Wi-Fi | Starlight Renkli Gece Görüşü | Kişi/Evcil Hayvan/Araç Algılama |18x Zoom | 10000mAh Pil</t>
  </si>
  <si>
    <t>TP-Link UE200, USB 2.0 Ethernet Ağ Adaptörü</t>
  </si>
  <si>
    <t>Mercusys MR27BE; BE3600 Mbps, Fiber Destekli, 2× 2.5 Gbps WAN&amp;LAN Port + 2× Gbps Port, Easy Mesh Uyumlu, Dual-Band Wi-Fi 7 Router</t>
  </si>
  <si>
    <t>TP-Link TL-SG1016, 16-Port Gigabit Easy Smart Switch with 8-Port PoE+</t>
  </si>
  <si>
    <t>TP-Link LS108GP | 8-Port Gigabit PoE+ Switch | 62W PoE Bütçesi, 250m İletim, Tak ve Çalıştır | Fansız, Sessiz Metal Kasa | IP Kamera &amp; AP Uyumlu Ağ Anahtarı</t>
  </si>
  <si>
    <t>TP-Link TL-SG1008D, 8-Portlu Gigabit Masaüstü Switch</t>
  </si>
  <si>
    <t>TP-Link Archer AX80, AX6000 8-Stream 2.5Gbps Ethernet Portlu Wi-Fi 6 Router, Fiber Destekli, 2.5G Gigabit Bağlantı Noktası, 160 MHz Genişliği, EasyMesh Uyumlu, VPN Destekli, HomeSheild</t>
  </si>
  <si>
    <t>Mercusys MR60X Wi-Fi 6 Router | AX1500 Mbps Hız, Gigabit Port, Fiber Uyumlu, WPA3 Güvenlik, Mobil Uygulama ile Kurulum, VPN Desteği, MU-MIMO &amp; Beamforming, Dual-Band</t>
  </si>
  <si>
    <t>TP-Link Archer TX10E | AX900 Wi-Fi 6 Bluetooth 5.3 PCIe Adaptör | 887 Mbps Çift Bant Hız | MU-MIMO &amp; OFDMA | Çift Harici Anten | WPA3 Güvenlik | Masaüstü PC Dahili Ağ Kartı</t>
  </si>
  <si>
    <t>TP-Link UE330C, USB Type-C den 3 adet Type-A 3.0 Hub ve Gigabit Ethernet Adaptörü</t>
  </si>
  <si>
    <t>TP-Link TL-SG108PE, 8 Port Gigabit / 4 Port POE Smart Switch</t>
  </si>
  <si>
    <t>TP-Link Festa F61, AX1800Mbps, 1 Gigabit Port, Festa Mesh, Kesintisiz Dolaşım, MU-MIMO, 250 Cihaza Kadar Bağanlantı, Ücretsiz Bulut Yönetimi, PoE Destekli, Dual-Band Wi-Fi 6 Tavan Tipi Access Point</t>
  </si>
  <si>
    <t>TP-Link UB600 Nano | Bluetooth 6.0 USB Adaptör | Yeni Nesil Yüksek Güvenlik ve Kararlılık | Kablosuz PC Alıcı | Windows 11/10/8.1/7 Uyumlu | Tak-Unut Mini Tasarım | Bluetooth Dongle</t>
  </si>
  <si>
    <t>TP-Link TL-SG1005LP, 4 Port PoE + ile 5 Port Gigabit Masaüstü Switch</t>
  </si>
  <si>
    <t>TP-Link UC400, Yüksek Hızda 3.0 USB-C - USB-A Adaptör</t>
  </si>
  <si>
    <t>TP-Link Tapo C501GW | 4G LTE Dış Mekan Güvenlik Kamerası | 360° Görüntüleme | 1080P Full HD | Renkli Gece Görüşü | IP66 | AI Algılama | Alarm | PoE Desteği | microSD &amp; Bulut Destekli</t>
  </si>
  <si>
    <t>TP-Link MC220L, Gigabit Ethernet Medya Dönüştürücü</t>
  </si>
  <si>
    <t>Tapo T310, Akıllı Sıcaklık ve Nem Monitörü, Ücretsiz Veri Depolama, Gerçek Zamanlı Bildirimler, Pil Dahildir, Alexa ve Google Home ile Çalışır, Tapo Hub Gereklidir Ayrıca Satılır</t>
  </si>
  <si>
    <t>TP-Link DECO S7 2-Pack Dual-band 2.4 GHz/5 GHz Wi-Fi 5 802.AC1900 260 2.80</t>
  </si>
  <si>
    <t>TP-Link Tapo P410M Akıllı Dış Mekan Wi-Fi Priz, Matter Sertifikalı, IP54 Su Sıçramasına Dayanıklı, V-0 Alev Geciktirici Malzeme, 16A, 2.4 GHz</t>
  </si>
  <si>
    <t>TP-Link TL-WN727N, N150 Mbps Kablosuz USB Adaptör, 150 mbps, Wi-Fi, USB Donanım Kilidi, LAN, WLAN</t>
  </si>
  <si>
    <t>TP-Link TL-WN8200ND, 300Mbps High Power Wireless USB Adapter</t>
  </si>
  <si>
    <t>TP-Link TL-SF1016D, AC650 Yüksek Kazançlı Kablosuz Çift Bantlı USB Adaptör</t>
  </si>
  <si>
    <t>Tapo C210, 2K 3MP, Hareket Tespit ve Takibi, 360°, 9m Gece Görüşü, Çift Yönlü Sesli İletişim, Sesli Alarm, Bulut/Yerel Depolama, Bebek Ağlaması Tespiti, İç Mekan Wi-Fi Güvenlik Kamerası</t>
  </si>
  <si>
    <t>TP-Link Archer TX30U Plus WiFi 6 USB Adaptör AX1800 (1800 Mbps), Dual Band 5GHz/2.4GHz, USB 3.0, Çift Yüksek Kazançlı Anten, WPA3 Güvenlik, Windows 11/10 Uyumlu Kablosuz Adaptör</t>
  </si>
  <si>
    <t>TP-Link TL-SG116, 16-Port Gigabit Desktop Switch</t>
  </si>
  <si>
    <t>Mercusys Halo H60X 2-pack, AX1500Mbps, Dual-Band, Gigabit Portları, 100'e Kadar Cihaz Bağlanabilir, 350 m²'ye Kadar Kapsama, Akıllı Bağlantı, Mobil Uygulama ile Kolay Kurulum, Wi-Fi 6 Mesh Sistemi</t>
  </si>
  <si>
    <t>Mercusys MB230-4G, AC1200Mbps, Mobil Uygulama Destekli, 64 Cihaza Kadar Bağlantı, SIM Kart Girişli, 2 Adet Ethernet Portlu, Dual-Band Cat 6 4G+ LTE Router</t>
  </si>
  <si>
    <t>Mercusys ME25BE | BE3600 Wi-Fi 7 Menzil Genişletici | 3600 Mbps Çift Bant Hız | Gigabit Ethernet Port | EasyMesh Uyumlu | Akıllı Sinyal Göstergesi | Sinyal Güçlendirici &amp; Access Point</t>
  </si>
  <si>
    <t>TP-Link Archer AX53, AX3000 Dual Band Gigabit Wi-Fi 6 Router, Fiber Destekli, 4× Gigabit LAN Ports, WPA3, Oyun için İdeal Xbox/PS4/Steam</t>
  </si>
  <si>
    <t>TP-Link TL-SM331T, 1000BASE-T RJ45 SFP Module</t>
  </si>
  <si>
    <t>TP-Link MC110CS, Fast Ethernet Medya Dönüştürücü</t>
  </si>
  <si>
    <t>TP-Link TL-WN881ND 300 MBps Kablosuz N PCI Express Adaptör</t>
  </si>
  <si>
    <t>Tapo L510E AYARLANABİLİR IŞIK SEVİYELİ AKILLI WI-FI LED AMPUL 2700K Warm White</t>
  </si>
  <si>
    <t>TP-Link RE205, AC750 Wi-Fi Menzil Genişletici, 2 Harici Anten ve 1 Ethernet Bağlantı Noktalı Wi-Fi Güçlendirici/Hotspot, Access Point Modu, Tüm Wi-Fi Yönlendiriciler ile Çalışır</t>
  </si>
  <si>
    <t>Mercusys MA30N, AC1300 Mbps, Çift Bant, MU-MIMO, Tak ve Çalıştır, Nano Wi-Fi 5 USB Adaptör</t>
  </si>
  <si>
    <t>TP-Link TL-WR840N, 300Mbps Kablosuz N Router</t>
  </si>
  <si>
    <t>Tapo RVA301 yıkanabilir paspas bezi (5 adet), Tapo RV30 Max Plus, Tapo RV30 Max, Tapo RV20 Max Plus, Tapo RV20 Max ile uyumlu</t>
  </si>
  <si>
    <t>TP-Link Archer A5, AC1200Mbps, MU-MIMO, Mobil Uygulama Destekli, Access Point Modu, Dual-Band Wi-Fi 5 Router</t>
  </si>
  <si>
    <t>Mercusys MC500 | 1080p Dış Mekan Güvenlik Kamerası | 360° Görüş | Renkli Gece Görüşü | Akıllı Takip | IP65 Hava Koşullarına Dayanıklı | microSD &amp; Bulut Depolama | SmartThings, Google Home, Alexa</t>
  </si>
  <si>
    <t>TP-Link EAP110, 300Mbps Wireless N Tavan Montajlı Merkezi Wi-Fi yönetimli Access Point</t>
  </si>
  <si>
    <t>TP‑Link Tapo S110E | Akıllı Switch Modülü | Kuru &amp; Islak Kontak Desteği | Wi‑Fi &amp; Bluetooth Bağlantı | Matter/Alexa/Google Home/Apple Home Uyumlu | Uzaktan &amp; Sesle Kontrol</t>
  </si>
  <si>
    <t>TP-Link LS106LP | 6-Port 10/100Mbps PoE Switch | 4-Port PoE, 41W Güç Bütçesi, 250m İletim | Tak ve Çalıştır, Sessiz Metal Kasa | IP Kamera ve AP Uyumlu</t>
  </si>
  <si>
    <t>TP-Link TL-WR802N, 300Mbps Kablosuz N Nano Router</t>
  </si>
  <si>
    <t>Tapo H100, Tapo Akıllı Hub, Tapo Akıllı Anahtar, Düğme ve Sensörle Çalışır, 64 Cihaz Bağlanabilir, 19 Zil Sesi Seçeneği, Kablolama Gerekmez</t>
  </si>
  <si>
    <t>Mercusys MA12N, N300 Mbps Kablosuz Nano USB Adaptör</t>
  </si>
  <si>
    <t>TP-Link TL-POE10R, PoE Splitter</t>
  </si>
  <si>
    <t>Tapo L520E, Akıllı Wi-Fi Ampulü, Gün Işığı</t>
  </si>
  <si>
    <t>Mercusys MA20N, AC650 Mbps Kablosuz Dual-Band Nano USB Adaptör</t>
  </si>
  <si>
    <t>Tapo L610, Akıllı Wi-Fi Spot Işığı, Ayarlanabilir Parlaklık, GU10 Lamba Tabanı, Uzaktan Kumanda, Enerji Tasarrufu, Alexa ve Google Home ile Çalışır, Hub Gerektirmez</t>
  </si>
  <si>
    <t>TP-Link UA430D | USB 3.0 Type-C &amp; Type-A SD/microSD Kart Okuyucu | 5 Gbps Hız, UHS-I 200 MB/s, Çift Kart Eşzamanlı Okuma/Yazma, 2TB’a Kadar Destek, Alüminyum Gövde, Tak-Çalıştır</t>
  </si>
  <si>
    <t>Tapo L510E 2-pack , Ayarlanabilir Akıllı Wi-Fi Ampulü, 806 Lümen, E27 Duy, 8,3W, Enerji tasarrufu, Amazon Alexa ve Google Home ile çalışır, Kısılabilir Yumuşak Sıcak Beyaz, Hub Gerekmez</t>
  </si>
  <si>
    <t>TP-Link Tapo L430C | Çok Renkli Akıllı Mum Ampul | 16 Milyon Renk ve Ayarlanabilir Beyaz | Müzik Senkronizasyonu |%1 Ultra Düşük Parlaklık | Wi-Fi Akıllı Aydınlatma | Enerji İzleme | Hub Gerekmez</t>
  </si>
  <si>
    <t>TP-Link TD-W8961N, 300Mbps Wireless N ADSL2+ Modem Router</t>
  </si>
  <si>
    <t>TP-Link TX401, 10 Gigabit PCI Express Network Adapter</t>
  </si>
  <si>
    <t>Tapo P100 2-Pack , Akıllı Mini Wi-Fi Soketi, Amazon Alexa ve Google Home ile Çalışır, Uzaktan Kontrol, Cihaz Paylaşımı, Hub Gerekmez</t>
  </si>
  <si>
    <t>TP-Link M7200, 4G LTE Mobil Wi-Fi Router</t>
  </si>
  <si>
    <t>TP-Link Archer VR400, AC1200 Mbps Kablosuz Dual-Band MU-MIMO Fiber Destekli VDSL/ADSL Modem Router, 4 Gigabit LAN Portları + 1 USB 2.0 Port, Beamforming, Tether Uygulaması ile Kolay Kurulum</t>
  </si>
  <si>
    <t>Tapo C212, 2K 3MP İç Mekan Wi-Fi/Ethernet Güvenlik Kamerası, Kişi Tespit ve Hareket Takibi, 360°, Gelişmiş Gece Görüşü, Çift Yönlü Sesli İletişim, Bulut/Yerel Depolama, Bebek Ağlaması Tespiti</t>
  </si>
  <si>
    <t>TP-Link RE500X, AX1500 Mbps OneMesh Wi-Fi 6 Menzil Genişletici, Geniş Bant/Wi-Fi Genişletici, 1 Gigabit Bağlantı Noktası ile Güçlendirici/Hotspot, Dahili Erişim Noktası Modu</t>
  </si>
  <si>
    <t>TP-Link RE600X, AX1800 Mbps OneMesh Wi-Fi 6 Menzil Genişletici, 1 Gigabit Bağlantı Noktası, Dahili Access Point Modu ile Geniş Bant/Wi-Fi Güçlendirici/Hotspot</t>
  </si>
  <si>
    <t>TP-Link USB 3.0 7-port hub UH700</t>
  </si>
  <si>
    <t>Tapo C100, 1080P Full HD İç Mekan Wi-Fi Güvenlik Kamerası, Hareket Tespit ve Takibi, 9m Gece Görüşü, Çift Yönlü Sesli İletişim, Sesli Alarm, Bulut/Yerel Depolama</t>
  </si>
  <si>
    <t>Tapo P100 4-Pack, Akıllı Mini Wi-Fi Soketi, Amazon Alexa ve Google Home ile Çalışır, Uzaktan Kontrol, Cihaz Paylaşımı, Hub Gerekmez</t>
  </si>
  <si>
    <t>Tapo C410 2-pack, 2K 3MP, Renkli Gece Görüşü, Şarj Edilebilir, Solar Panel Destekli, IP65, Yerel/Bulut Depolama, 110° Açılı, Işıklı ve Sesli Alarm, Kablosuz Bataryalı Güvenlik Kamerası</t>
  </si>
  <si>
    <t>Tapo L630, Ayarlanabilir Parlaklık, Çok Renkli, GU10 Lamba Tabanı, Uzaktan Kumanda, Enerji Tasarrufu, Alexa ve Google Home ile Çalışır, Hub Gerektirmez, Akıllı Wi-Fi Spot Işığı</t>
  </si>
  <si>
    <t>TP-Link Deco BE22 (2-Pack) | Wi-Fi 7 Mesh Sistemi | BE3600 Mbps | Fiber Uyumlu | Çift Bant | AI-Roaming | 2 Adet Gigabit Port | 200 Cihaz | WPA3 | VPN | Mobil Uygulama ile Kolay Kurulum</t>
  </si>
  <si>
    <t>TP-LINK ARCHER VR400 1200 Mbps VDSL2 MODEM</t>
  </si>
  <si>
    <t>TP-Link TL-SG108, 8-Port 10/100/1000 MBPS Gigabit Ethernet Switch 5 V Harici Güç Adaptörü</t>
  </si>
  <si>
    <t>Tapo P300, 1.5m, 3'lü Akıllı Wi-Fi Priz, 18 W Hızlı Şarj, Uzaktan Kontrol, Kolay Kurulum ve Kullanım, Amazon Alexa, Google Home ve HomeKit Desteği</t>
  </si>
  <si>
    <t>Tapo L920-5, Wi-Fi Uygulama Kontrolü RGBW Çok Renkli LED Şerit, PU Kaplama, Müzikle Senkronizasyon, Alexa ve Google Home ve Apple HomeKit ile Çalışır, Çok Renkli Akıllı Wi-Fi Şerit Led</t>
  </si>
  <si>
    <t>TP-Link RE505X, AX1500 Mbps OneMesh Wi-Fi 6 Menzil Genişletici, Geniş Bant/Wi-Fi Genişletici, 1 Gigabit Bağlantı Noktası ve 2 Harici Anten ile Güçlendirici/Hotspot, Dahili Erişim Noktası Modu</t>
  </si>
  <si>
    <t>TP-Link Archer AX23, AX1800 Çift Bant Wi-Fi 6 Yönlendirici</t>
  </si>
  <si>
    <t>TP-Link RE705X, AX3000 Mbps Wi-Fi 6 Menzil Genişletici, Geniş Bant Güçlendirici, 1 Gigabit Bağlantı Noktalı Hotspot, 160 MHz Kanallar, Dahili Access Point Modu</t>
  </si>
  <si>
    <t>Tapo T110, Tapo Akıllı Kapı/Pencere Kontak Sensörü, Anlık Bildirim, Pil Dahil, Kolay Kurulum, Diğer Tapo Ürünleri ile Aksiyon Tetikleme, Tapo Hub Gereklidir Ayrıca Satılır</t>
  </si>
  <si>
    <t>Tapo L530E 2-pack , 8.7 W, 2.4 GHz, 16.000.000 Renk Tonu, E27 Duy, Amazon Alexa ve Google Home ile Çalışır, Rengi Değiştirilebilir, Hub Gerekmez, Çok Renkli Akıllı Wi-Fi Ampulü</t>
  </si>
  <si>
    <t>TP-Link TL-WPA4226KIT, AV600 300 Mbps Kablosuz 2 LAN Portlu 300 Metre Mesafeli Priz Girişli Powerline</t>
  </si>
  <si>
    <t>TP-Link TL-SG108 V3 8 Portlu Gigabit Ağ Anahtarı 8 Port Siyah TL-SG108</t>
  </si>
  <si>
    <t>Tapo C325WB, 2K 4MP, Yapay Zeka Desteği, Hareket Tespit, IP66 Su Geçirmez, Renkli Gece Görüşü, Çift Yönlü Ses, Bulut/Yerel Depolama, Sesli ve Işıklı Alarm, Dış Mekan Wi-Fi Güvenlik Kamerası</t>
  </si>
  <si>
    <t>Tapo C520WS, 2K QHD Dış Mekan Wi-Fi/Ethernet Güvenlik Kamerası, Hareket Tespit/Takibi, 360°, IP66 Su Geçirmez, Renkli Gece Görüşü, Çift Yönlü Ses, Bulut/Yerel Depolama, Sesli ve Işıklı Alarm</t>
  </si>
  <si>
    <t>TP-Link TL-WN821N, 300 Mbps N Kablosuz WPS USB Adaptör</t>
  </si>
  <si>
    <t>TP-Link MC100CM, Fast Ethernet Medya Dönüştürücü</t>
  </si>
  <si>
    <t>TP‑Link Deco BE68 | BE14000 Tri‑Band Mesh Wi‑Fi 7 Router 1‑Pack | 14 Gbps Hız | 10 Gbps + 2.5 Gbps + 1 Gbps Ethernet | AI Mesh &amp; Seamless Roaming | HomeShield Güvenlik</t>
  </si>
  <si>
    <t>TP-LINK Archer T4UH V2.0 AC1300 Dual band Wi-Fi Adaptörü</t>
  </si>
  <si>
    <t>TP-Link Deco X60 1-pack, AX5400 Mbps, 1 GHz Dört Çekirdekli CPU, WPA3, OFDMA ve MU-MIMO, 150 Cihaza Kadar Bağlantı, 270 m²'ye Kadar Kapsama, Mobil Uygulama ile Kolay Kurulum, Wi-Fi 6 Mesh Sistemi</t>
  </si>
  <si>
    <t>TP-Link Tapo S112 | Akıllı Wi-Fi Switch Röle Modülü | Panjur ve Perde Kontrolü | Çift Kanal Işık Yönetimi | Matter Sertifikalı | Enerji İzleme | Engel Algılama | Sıfır Geçiş Koruması | Sesle Kontrol</t>
  </si>
  <si>
    <t>TP-Link Archer AX55 Pro, AX3000 Mbps 2.5G Portlı Multi-Gigabit Wi-Fi 6 Router</t>
  </si>
  <si>
    <t>Tapo P110 2-pack, Enerji İzleme, Amazon Alexa ve Google Home ile Çalışır, Uzaktan Kontrol, Cihaz Paylaşımı, Hub Gerekmez, Mini Akıllı Wi-Fi Soketi</t>
  </si>
  <si>
    <t>TP-Link EAP650-Outdoor, AX3000 Mbps Dış Mekan WiFi 6 Access Point</t>
  </si>
  <si>
    <t>TP-Link TL-SF1005LP, 5-Port 10/100Mbps Desktop Switch with 4-Port PoE</t>
  </si>
  <si>
    <t>Tp-link WBS210, 4GHz 300Mbps Dış Mekan Kablosuz Dağıtım İstasyonu</t>
  </si>
  <si>
    <t>TP-Link EAP655-Wall, AX3000 Mbps Dual-Band WiFi 6 Duvar Tipi Access Point</t>
  </si>
  <si>
    <t>TP-LINK TL-SG1008P 8X Port Masaüstü 4xPoE</t>
  </si>
  <si>
    <t>TP-Link EAP115, 300Mbps Kablosuz N Tavan Tipi Access Point</t>
  </si>
  <si>
    <t>TP-Link Tapo RV20 Max Plus; 83mm İnce Tasarım, MagSlim LiDAR Navigasyon, 5300Pa Yüksek Vakum Güçlü, Akıllı Otomatik Boşaltma Ünitesi, Tapo IQ, Robot Süpürge ve Paspas</t>
  </si>
  <si>
    <t>TP-Link M7005 | 4G LTE Mobil Wi-Fi 6 Taşınabilir Modem | 150 Mbps 4G Hızı | 2400 mAh Batarya | 12 Saat Kullanım | 10 Cihaz Desteği | Kolay SIM Kart Girişi | Cep Wi-Fi | tpMiFi Uygulama Destekli</t>
  </si>
  <si>
    <t>TP-Link EAP225-Outdoor, AC1200 Mbps Kablosuz MU-MIMO Gigabit Dış Ortam Access Point</t>
  </si>
  <si>
    <t>TP-Link UB400, Bluetooth 4.0 Mini USB Adaptör</t>
  </si>
  <si>
    <t>Mercusys Halo H25BE(2-pack) | Wi-Fi 7 Mesh Sistemi | BE3600 Mbps Hız | Fiber Uyumlu | Dual-Band | 3x1G Port | 460 m² Kapsama | MLO | 320 MHz, 4K-QAM | 8K Yayın | Kolay Kurulum ve Kullanım</t>
  </si>
  <si>
    <t>TP-Link Deco XE75(2-pack), AXE5400 Tri-Band Mesh Wi-Fi 6E Sistemi, 6GHZ ve 160MHZ, WPA3 Koruması, Gigabit Portları, 200 Cihaza Kadar Bağlanılabilirlik, 500 m²'ye kadar kapsama, Yapay Zeka Desteği</t>
  </si>
  <si>
    <t>TP-Link Tapo P110M | Akıllı WiFi Priz 16A | Enerji Ölçer | Matter Destekli | Alexa &amp; Google Home Uyumlu | Uzaktan Kontrol | Zamanlayıcı &amp; Otomasyon | Güvenli Kullanım | Kolay Kurulum</t>
  </si>
  <si>
    <t>TP-Link LS108G, 8-Port 10/100/1000 Mbps Gigabit Ethernet Switch, 8 Bağlantı Noktası</t>
  </si>
  <si>
    <t>TP-Link Archer C3150, AC3150 Wireless MU-MIMO Gigabit Router</t>
  </si>
  <si>
    <t>TP-Link Archer T4U, 1300Mbps Kablosuz Dual Band USB Adaptör</t>
  </si>
  <si>
    <t>TP-Link TC65, 2K 3MP, Hareket Algılama, IP66 Su Geçirmez, 30m Gece Görüşü, Çift Yönlü Ses, Bulut/Yerel Depolama, Sesli ve Işıklı Alarm, Dış Mekan Wi-Fi/Ethernet Güvenlik Kamerası</t>
  </si>
  <si>
    <t>Tapo P115, Mini Akıllı Wi-Fi Soketi, Enerji İzleme, 1-pack</t>
  </si>
  <si>
    <t>TP-Link Archer TBE550E, BE9300 Wi-Fi 7 Adaptör, Üç Bantlı, WPA3, Bluetooth 5.4 Destekli, USB ile Hızlı Kurulum, 2 Harici Anten</t>
  </si>
  <si>
    <t>TP-Link Deco X10-4G(1-pack), AX1500 4G+ Cat6 Destekli Tüm Ev Mesh Wi-Fi 6 4G Modemi, 190 m²'ye Kadar Kapsama Alanı, 120 Cihaza Kadar Bağlantı, Gigabit Portlu, Kolay Kurulum</t>
  </si>
  <si>
    <t>TP-Link TL-WN722N High Gain WLAN USB adaptörü, Windows 11/10/8.1/8/7/XP, Mac OS 10.15 ve üzeri, Linux</t>
  </si>
  <si>
    <t>TP-Link Deco M9 Plus(3-pack), AC2200 Mbps Mesh Tüm Ev Tri-Band Wi-Fi Sistemi</t>
  </si>
  <si>
    <t>TP-Link TL-ANT2415D 2.4GHz 15dBi Dış Mekan Yönsüz Anten</t>
  </si>
  <si>
    <t>TP-Link TL-SG2008P,JetStream 8-Port Gigabit Smart Switch with 4-Port PoE+</t>
  </si>
  <si>
    <t>TP-Link TL-WPA8631P KIT, AV1300 Gigabit Passthrough Powerline ac Wi-Fi Kiti</t>
  </si>
  <si>
    <t>TP-Link DECO P7, 1900Mbps Ev Hibrid Mesh Wi-Fi Sistemi (İkili Paket)</t>
  </si>
  <si>
    <t>TP-Link TL-SL1226P, Bluetooth 4.0 Mini USB Adaptör</t>
  </si>
  <si>
    <t>Tapo C202, 1080P Full HD, Hareket Tespit ve Takibi, 360°, 9m Gece Görüşü, Çift Yönlü Ses, Alarm, Bulut/Yerel Depolama, Bebek Ağlaması Tespiti, İç Mekan Ethernet/Wi-Fi Güvenlik Kamerası</t>
  </si>
  <si>
    <t>TP-Link Archer AX90, AX6600 Mbps Tri-Band Gigabit Wi-Fi 6 Router</t>
  </si>
  <si>
    <t>TP-Link TL-SG2210P, JetStream 8-Port Gigabit Smart PoE+ Switch with 2 SFP Slots</t>
  </si>
  <si>
    <t>TP-Link KE100 Kasa Akıllı Termostatik Radyatör Vanası |Hassas Sıcaklık Kontrol| Geofencing | Alexa &amp; Google Assistant &amp; Siri | Uzaktan Kontrol (Hub Gerekli) | Açık Pencere Algılama | Donma Koruması</t>
  </si>
  <si>
    <t>TP-Link TL-MR3020, Portatif 3G/4G Kablosuz N Router</t>
  </si>
  <si>
    <t>TP-Link Archer AX95, AX7800 Tri-Band 8-Stream Wi-Fi 6 Router</t>
  </si>
  <si>
    <t>TP‑Link RE715X | AX3000 Mesh Wi‑Fi 6 Extender | Çift Bant 3.0 Gbps | EasyMesh Uyumluluk | Smart Roaming | Gigabit Ethernet | WPS &amp; Tether Uyumlu</t>
  </si>
  <si>
    <t>TP-Link Deco X50-DSL 1-pack, AX3000 Mbps, Dual-Band, Gigabit Ethernet Portları, 150 Cihaza Kadar Bağlantı, 230 m² 'ye Kadar Kapsama, Fiber Destekli Wi-Fi 6 VDSL Mesh Modemi</t>
  </si>
  <si>
    <t>TP-Link M7300 V3.0 TP-Link M7300 V3.0 Mobil 4 G/LTE Mifi çift bant Wi-Fi yönlendirici (150 Mbit/s, 2000 mAh Dahili pil, 32 GB Micro SD-Kart, SIM-kart yuvası, Micro SD-Kart Yuvası)</t>
  </si>
  <si>
    <t>TP-Link Archer AX50, AX3000 Mbps, Fiber Destekli, 4× Gigabit LAN Ports, WPA3, OFDMA, HomeCare, Dual Band Gigabit Wi-Fi 6 Router</t>
  </si>
  <si>
    <t>TP-Link TL-SX3008F, JetStream 8-Port 10GE SFP+ L2+ Managed Switch</t>
  </si>
  <si>
    <t>TP-Link Archer C64, AC1200 Mbps Kablosuz MU-MIMO WiFi Router, 4 Gigabit LAN Bağlantı Noktası, Beamforming, WPA3, Access Point Modu, Ebeveyn Denetimleri</t>
  </si>
  <si>
    <t>TP-Link Deco X95(2-Pack), AX7800 Tri-Band Mbps Mesh Wi-Fi 6 Sistemi</t>
  </si>
  <si>
    <t>TP-Link TL-SG3452P, JetStream 52-Port Gigabit L2+ Managed Switch with 48-Port PoE+</t>
  </si>
  <si>
    <t>TP-Link Deco X20(3-pack), AX1800 Mbps Tüm Ev Mesh Wi-Fi 6 Sistemi, 1 GHz CPU, Yapay Zeka Desteği, Gigabit Portları, 150 Cihaza Kadar Bağlanılabilirlik, 540 m²'ye Kadar Kapsama, HomeSheild</t>
  </si>
  <si>
    <t>TP-Link TL-WR3602BE | BE3600 Dual-Band Wi-Fi 7 Travel Router | 3.6 Gbps Hız | 2.5G WAN + Gigabit LAN | USB 3.0 | VPN Destekli (OpenVPN &amp; WireGuard) | Multi-Mode | Taşınabilir Router | Tether App</t>
  </si>
  <si>
    <t>TP-Link M8550 | 5G Mobil Wi-Fi 6E Taşınabilir Modem | 3.4 Gbps Hız | Tri-Band AXE3600 | Dokunmatik Ekran | Gigabit Port | VPN Desteği | 32 Cihaz Bağlantısı | Sim Kartlı Cep Wi-Fi | Yeni Nesil 5G</t>
  </si>
  <si>
    <t>TP-Link RE605X, AX1800 Mbps OneMesh Wi-Fi 6 Menzil Genişletici, 1 Gigabit Bağlantı Noktası ve 2 Harici Anten, Dahili Access Point Modu ile Geniş Bant/Wi-Fi Güçlendirici/Hotspot</t>
  </si>
  <si>
    <t>TP-Link Archer AX10, AX1500 Mbps Dual-Band Wi-Fi 6 Router, Fiber Destekli, 4 Gigabit LAN Bağlantı Noktası, Beamforming, OFDMA, MU-MIMO, Ebeveyn Denetimleri</t>
  </si>
  <si>
    <t>TP-Link Archer C60, AC1350 Mbps Kablosuz Dual Band Router, Geniş Menzil, Beamforming, Access Point Modu</t>
  </si>
  <si>
    <t>Tapo D205 | Mini Akıllı Görüntülü Kapı Zili | 2K Net Görüntü | 160° Geniş Açı | 180 Gün Pil Ömrü | AI Kişi Algılama | İki Yönlü Ses | IP54 Hava Koşullarına Dayanıklı | Bulut/SD Kart Depolama</t>
  </si>
  <si>
    <t>Tp-Link Archer C20 4Port 433Mbps Dual Router</t>
  </si>
  <si>
    <t>TP-Link Tapo C420, 2K QHD Kablosuz Bataryalı Güvenlik Kamerası, Yapay Zeka Desteği, Renkli Gece Görüşü, 180 Gün Şarj Süresi, Su Geçirmez, Yerel/Bulut Depolama, Sesli Alarm, Solar Panel Desteği</t>
  </si>
  <si>
    <t>Mercusys MC200 | 1080p Güvenlik Wi-Fi Kamerası | 360° Görüş | Gece Görüşü | Akıllı Hareket &amp; Kişi Algılama | Çift Yönlü Ses | microSD &amp; Bulut Depolama | SmartThings, Alexa, Google Assistant Uyumlu</t>
  </si>
  <si>
    <t>TP-Link Archer BE550, BE9300 Tri-Band Wi-Fi 7 Router, Fiber Destekli, 5× 2.5 Gbps Port, 6GHz 160 MHz Genişliği, VPN Destekli, Easy Mesh Uyumlu, HomeSheild</t>
  </si>
  <si>
    <t>Tapo S112 | 2 kanallı WLAN ve Bluetooth akıllı röle şalteri – 6A | panjur ve ışık kontrolü, güç tüketimi ölçümü | Matter uyumlu | Uygulama üzerinden uzaktan kumanda | Hub gerekli değildir</t>
  </si>
  <si>
    <t>TP-Link EAP225, AC1350 Mbps Kablosuz MU-MIMO Gigabit Tavan Tipi Access Point</t>
  </si>
  <si>
    <t>TP-Link Archer T2UB Nano, AC600 Nano Wi-Fi Bluetooth 4.2 USB Adaptör</t>
  </si>
  <si>
    <t>TP-Link Archer VR600, AC2100 Mbps Kablosuz Dual-Band Fiber Destekli VDSL/ADSL Modem Router, 4 Gigabit LAN Portları + 1 USB 3.0 Port, MU-MIMO, Super VDSL, Tether Uygulaması ile Kolay Kurulum</t>
  </si>
  <si>
    <t>TP-Link Deco X90(1-pack), AX6600 Whole Home Mesh Wi-Fi System</t>
  </si>
  <si>
    <t>TP-Link TL-SF1024M, 24-Port 10/100Mbps Masaüstü Switch</t>
  </si>
  <si>
    <t>TP-Link TL-SM321B, 1000Base-BX WDM Çift Yönlü SFP Modülü</t>
  </si>
  <si>
    <t>TP-Link Tapo RV30 Max; 5300Pa Yüksek Vakum Güçlü, Amazon Alexa ve Google Asistan Destekli, Robot Süpürge ve Paspas</t>
  </si>
  <si>
    <t>TP-Link Archer BE805 | Tri-Band Wi-Fi 7 Router | Fiber Destekli |BE19000 Mbps Hız | 2× 10 Gbps + 4× 1 Gbps Port | 6GHz 320 MHz Kanal | VPN Destekli | EasyMesh Uyumlu | HomeShield Güvenlik</t>
  </si>
  <si>
    <t>TP-Link Deco M9 Plus(2-pack), AC2200 Mbps Mesh Tüm Ev Tri-Band Wi-Fi Sistemi</t>
  </si>
  <si>
    <t>Tapo TP-Link A100, Bataryalı Kameralar İçin Şarj Edilebilir Yedek Batarya</t>
  </si>
  <si>
    <t>TP-Link Deco X20(2-pack), AX1800 Mbps Tüm Ev Mesh Wi-Fi 6 Sistemi, 1 GHz CPU, Yapay Zeka Desteği, Gigabit Portları, 150 Cihaza Kadar Bağlanılabilirlik, 370 m²'ye Kadar Kapsama, HomeSheild</t>
  </si>
  <si>
    <t>Tapo L630 4-pack, Akıllı Wi-Fi Spot Işığı, Ayarlanabilir Parlaklık, Çok Renkli, GU10 Lamba Tabanı, Uzaktan Kumanda, Enerji Tasarrufu, Alexa ve Google Home ile Çalışır, Hub Gerektirmez</t>
  </si>
  <si>
    <t>TP-Link TL-PS110U, Tek USB2.0 Portlu Fast Ethernet Print Server</t>
  </si>
  <si>
    <t>TP-Link TL-WN881ND, 300 Mbps Kablosuz N PCI Express Adaptör</t>
  </si>
  <si>
    <t>TP-Link TL-SM5110-LR, 10GBase-LR SFP+ LC Transceiver</t>
  </si>
  <si>
    <t>TP-Link UA440C, USB 3.0 Type-C - SD ve microSD 4.0 Kart Okuyucu</t>
  </si>
  <si>
    <t>Tp-link TL-SM311LM, MiniGBIC Modülü</t>
  </si>
  <si>
    <t>Tp-link RE360, AC1200 Wi-Fi Range Extender with AC Passthrough</t>
  </si>
  <si>
    <t>TP-Link TL-WPA8631P, AV1300 Gigabit Priz Soketli AC Wi-Fi Powerline Adaptör</t>
  </si>
  <si>
    <t>TP-Link TL-SG3428XF, JetStream 24-Port SFP L2+ Managed Switch with 4 10GE SFP+ Slots</t>
  </si>
  <si>
    <t>TP-Link TL-ANT24EC5S, 5 Metre Anten Uzatma Kablosu</t>
  </si>
  <si>
    <t>TP-Link TL-SG1008P, 8-Port Gigabit Desktop Switch with 4-Port PoE+</t>
  </si>
  <si>
    <t>TP-Link ‎TL-FC311A-20, Gigabit WDM Media Dönüştürücü</t>
  </si>
  <si>
    <t>Tapo A202 Solar Panel, Tüm Tapo Pil Kameraları ile Uyumlu, 4 m Tip C Uzatma Şarj Kablosu, 5 V 4,5 W, IP65 Su Geçirmez, Serbest Ayarlanabilir Açı, USB-C - Micro-USB Adaptörü Dahil</t>
  </si>
  <si>
    <t>TP-Link Archer BE450, BE7200 Mbps, Fiber Destekli, 1× 10 Gbps WAN, 1× 2.5Gbps LAN Port + 3× 1 Gbps Port, 6GHz 320 MHz Kanalı, VPN Destekli, Easy Mesh Uyumlu, HomeSheild, Dual-Band Wi-Fi 7 Router</t>
  </si>
  <si>
    <t>Tp-Link Tl-Wpa4220 Av600 Wi-Fi N300 Wifi Güç Hattı (600Mbit / Sn Maksimum Powerline, 300Mbit / Sn Wlan 2.4Ghz, Tak Ve Çalıştır, Tüm Powerline Adaptörleriyle Uyumlu, 1 Parçalı) Beyaz</t>
  </si>
  <si>
    <t>TP-Link TL-SF1008P, 8-Port 10/100Mbps Desktop Switch with 4-Port PoE+</t>
  </si>
  <si>
    <t>Tapo C660 KIT 4K 360° Solar Güvenlik Kamerası, Dış Mekan, Pil 10000 mAh, Renkli Gece Görüşü, Çift Bant WLAN, AI Algılama, Işık ve Ses Alarm, MicroSD H500 ile Yerel Depolama</t>
  </si>
  <si>
    <t>TP-Link TL-SF1009P, 9-Port 10/100Mbps Desktop Switch with 8-Port PoE+</t>
  </si>
  <si>
    <t>Tp-link TL-WN781ND, 150Mbps Kablosuz PCI Express Adaptör</t>
  </si>
  <si>
    <t>TP-Link OC200, Omada Hardware Controller</t>
  </si>
  <si>
    <t>TP-Link PG1200 KIT, G.hn1200 Powerline Adaptör Kiti</t>
  </si>
  <si>
    <t>TP-Link M7352 | 4G LTE Mobil Wi-Fi 6 Taşınabilir Modem | 150 Mbps 4G Hızı | 2100 mAh Pil ile 10 Saat Kullanım | Bilgi Ekranlı | 2 TB MicroSD Desteği | 10 Cihaz Bağlantısı | Yeni Nesil Cep Wi-Fi</t>
  </si>
  <si>
    <t>Tapo RV20 Max, 5300Pa Emiş Gücü, 83mm İnce Tasarım, MagSlim LİDAR Navigasyon, Tapo IQ, Halıyı Islatmaz, Yüksek Vakum Güçlü Robot Süpürge ve Paspas</t>
  </si>
  <si>
    <t>TP-Link TL-SG1210P, 10-Port Gigabit Desktop Switch with 8-Port PoE+</t>
  </si>
  <si>
    <t>Tapo C410 KIT Solar Güvenlik Kamerası Dış Pil, 2K 3 MP, Renkli Gece Görüşü, MicroSD Bellek, 6400 mAh Çıkarılamaz Pil, İki Yönlü Ses, Kişi Tanıma, Alexa&amp;Google Assistant, 2,4 GHz</t>
  </si>
  <si>
    <t>Mercusys MW325R, 300Mbps Enhanced Wireless N Router</t>
  </si>
  <si>
    <t>TP-Link TL-SL1218MP, 16-Port 10/100Mbps + 2-Port Gigabit Unmanaged PoE Switch</t>
  </si>
  <si>
    <t>TP-Link TL-WN822N High-Gain Wireless USB Adaptör</t>
  </si>
  <si>
    <t>TP-Link Archer TBE230U | BE3600 Wi-Fi 7 Kablosuz USB Adaptör | 3600 Mbps Çift Bant | USB-C ve USB-A Bağlantı | Wi-Fi 7 MLO Teknolojisi | USB 3.0 | WPA3 Güvenlik | Windows 11/10 Tak Çalıştır</t>
  </si>
  <si>
    <t>TP-Link TL-SG1428PE, 28-Port Gigabit Easy Smart Switch with 24-Port PoE+</t>
  </si>
  <si>
    <t>TP-Link Archer AX72, AX5400 Dual-Band Gigabit Wi-Fi 6 Router</t>
  </si>
  <si>
    <t>TP-Link Festa F61-Outdoor, AX1800Mbps, 1 Gigabit Port, Festa Mesh, Kesintisiz Dolaşım,IP67 Sertifikalı, Ücretsiz Bulut Yönetimi, 802.3at ve Pasif PoE Destekli, Dual-Band Wi-Fi 6 Dış Mekan Access Point</t>
  </si>
  <si>
    <t>Mercusys MA86XE, AXE5400 Wi-Fi 6E Bluetooth 5.3 PCIe Adapter</t>
  </si>
  <si>
    <t>TP-Link RE800BE, BE19000 Mbps, 1× 10 Gbps + 2× Gigabit LAN Portları, 6GHz / 320MHz, EasyMesh Destekli, 8 Adet Dahili Anten ile Geniş Kapsama Alanı, Tri-Band Wi-Fi 7 Menzil Genişletici</t>
  </si>
  <si>
    <t>TP-Link VX230v, AX1800 Dual-Band Wi-Fi 6 Fiber Destekli VDSL/ADSL Modem Router</t>
  </si>
  <si>
    <t>TP-Link Archer MX700 | BE7000 Wi-Fi 7 Router | 7000 Mbps | Tri-Band | 2.5G WAN/LAN Port | EasyMesh Destekli | Çoklu Cihaz Desteği | WPA3 Güvenlik | VPN Desteği | Mobil Uygulama ile Kolay Kurulum</t>
  </si>
  <si>
    <t>Tp-link Archer T9UH, AC1900 Yüksek Kazançlı Kablosuz Çift Band USB Adaptör</t>
  </si>
  <si>
    <t>TP-Link Festa F41, N300Mbps, 10/100 Port, Festa Mesh, Kesintisiz Dolaşım, Ücretsiz Bulut Yönetimi, PoE ve Güç Adaptörü, Wi-Fi 4 Tavan Tipi Access Point</t>
  </si>
  <si>
    <t>TP-Link Archer C6 AC1200 Dual Band Kablosuz Mu-Mımo Gigabit Router</t>
  </si>
  <si>
    <t>TP-Link PGW2440 KIT, G.hn2400 Powerline AX1800 Wi-Fi 6 Kit</t>
  </si>
  <si>
    <t>TP-Link Archer VR2100 AC2100 Mbps Kablosuz Dual-Band Fiber Destekli VDSL/ADSL Modem Router, 4 Gigabit LAN Portları + 1 USB 3.0 Port, MU-MIMO, Super VDSL, Tether Uygulaması ile Kolay Kurulum</t>
  </si>
  <si>
    <t>TP-Link TL-SM311LM, MiniGBIC Modülü</t>
  </si>
  <si>
    <t>TP-Link TL-SG1024DE, 24-Port Gigabit Easy Smart Switch</t>
  </si>
  <si>
    <t>Tapo TP-Link RVA102, Robot Süpürge Yedek Parça Kiti, Ana Fırça, Yan Fırçalar ve HEPA Filtre, RV20 Modelleri ile Uyumludur</t>
  </si>
  <si>
    <t>TP-Link Archer TBE552E | BE9300 Wi-Fi 7 PCIe Adaptör | Bluetooth 5.4 | Üç Bant 5760 + 2880 + 688 Mbps | 6 GHz Destekli | Çift Anten | WPA3 Güvenlik | Windows 11 64-bit Uyumluluk</t>
  </si>
  <si>
    <t>Tapo C630 KIT 360 ° Güneş Gözetim Kamerası Pil ile Dış Mekan | 3K 5MP | Ücretsiz AI Algılama | Renkli ve IR Gece Görüşü | 24/7 Kayıt | 2 Yönlü Ses | Yerel MicroSD ve Bulut</t>
  </si>
  <si>
    <t>TP-Link TL-SM5220-1M, 1 Meter 10G SFP+ Direct Attach Cable</t>
  </si>
  <si>
    <t>TP-Link TL-SG3428MP, JetStream 28-Port Gigabit L2 Managed Switch with 24-Port PoE+</t>
  </si>
  <si>
    <t>Tapo P100MA WLAN priz, Matter sertifikalı, uzaktan kumanda, zaman planı, aile paylaşımı, çoklu güvenlik garantisi, 2,4 GHz</t>
  </si>
  <si>
    <t>Tp-Link Archer AX50 AX3000 Dual Band Router</t>
  </si>
  <si>
    <t>TP-Link Tapo RVA105 - Tapo Robot Süpürge Yedek Parça Kiti, 1 Ana Fırça, 2 Yan Fırça, 2 Hepa Filtre</t>
  </si>
  <si>
    <t>TP-Link Deco X60 2-pack, AX5400 Mbps, 1 GHz Dört Çekirdekli CPU, WPA3, OFDMA ve MU-MIMO, 150 Cihaza Kadar Bağlantı, 490 m²'ye Kadar Kapsama, Mobil Uygulama ile Kolay Kurulum, Wi-Fi 6 Mesh Sistemi</t>
  </si>
  <si>
    <t>TP-Link TL-POE4824G, 48V Pasif PoE Adaptörü</t>
  </si>
  <si>
    <t>TP-Link Deco X73-DSL 1-pack, AX5400 Mbps, Dual-Band, Gigabit Ethernet Portları, 150 Cihaza Kadar Bağlantı, 270 m² 'ye Kadar Kapsama, Fiber Destekli Wi-Fi 6 VDSL Mesh Modemi</t>
  </si>
  <si>
    <t>TP-LINK TL-WN725N 150Mbps USB NANO SINYAL ALICI</t>
  </si>
  <si>
    <t>Tp-Link Archer Vr900 V Ac1900 Çift Vdsl2 Modemrouter</t>
  </si>
  <si>
    <t>TP-Link TL-SG1005P, 5-Port Gigabit Desktop Switch with 4-Port PoE+</t>
  </si>
  <si>
    <t>Tapo C200C, 1080P Full HD, Hareket Tespit ve Takibi, 360°, 9m Gece Görüşü, Çift Yönlü Ses, Sesli Alarm, Bulut/Yerel Depolama, Bebek Ağlaması Tespiti, İç Mekan Wi-Fi Güvenlik Kamerası</t>
  </si>
  <si>
    <t>TP-Link RE500, AC1900 Wi-Fi Range Extender</t>
  </si>
  <si>
    <t>TP-Link EAP653, AX3000 Mbps Tavan Tipi WiFi 6 Access Point</t>
  </si>
  <si>
    <t>TP-Link TC82 KIT, 2K 3MP, Renkli Gece Görüşü, Şarj Edilebilir, IP65 Sertifikalı, Yerel/Bulut Depolama, 110° Açılı, Güneş Paneli Dahil, Kablosuz Bataryalı Güvenlik Kamerası Kiti</t>
  </si>
  <si>
    <t>TP-Link M7450 300 Mbps LTE-Advanced Mobile Wi-Fi kablosuz yöneltici</t>
  </si>
  <si>
    <t>TP-Link EAP110-Outdoor, 300Mbps Wireless N Dış Mekan Access Point</t>
  </si>
  <si>
    <t>TP-Link Archer C80, AC1900 Mbps Kablosuz MU-MIMO Wi-Fi Router, 4 Gigabit LAN Bağlantı Noktası, Beamforming, WPA3, Ebeveyn Denetimleri</t>
  </si>
  <si>
    <t>Mercusys MB115-4G | N300 Mbps 4G LTE Router | SIM Kart Girişli | 4 Ethernet Portu | 4 Harici Antenli | 32 Cihaza Kadar Bağlantı | Mobil Uygulama Destekli</t>
  </si>
  <si>
    <t>TP-Link Archer-T2UH Archer T2UH 600 Mbps Yüksek Kazançlı Kablosuz Dual Band USB Adaptör Siyah</t>
  </si>
  <si>
    <t>TP-Link TL-SM321B-2, 1000Base-BX WDM Bi-Directional SFP Module</t>
  </si>
  <si>
    <t>TP-Link TL-POE150S, PoE Enjektör</t>
  </si>
  <si>
    <t>TP-Link Archer AXE75, AXE5400 Üç Bantlı Gigabit Wi-Fi 6E Router</t>
  </si>
  <si>
    <t>TP-Link TL-SG1210MPE, 10-Port Gigabit Easy Smart Switch with 8-Port PoE+</t>
  </si>
  <si>
    <t>TP-Link Archer C6, AC1200 Mbps Kablosuz MU-MIMO Wi-Fi Router, 4 Gigabit LAN Bağlantı Noktası, Beamforming, WPA3, Access Point Modu, Ebeveyn Denetimleri</t>
  </si>
  <si>
    <t>TP-Link Deco M9 Plus(1-pack), AC2200 Mbps Mesh Tüm Ev Tri-Band Wi-Fi Sistemi</t>
  </si>
  <si>
    <t>Tapo H110 IR uzaktan kumanda – 18 cihaz tipini destekler, 8000'den fazla marka, Tapo sensörleri için hub, Alexa/Siri ile sesli kontrol, mat, zamanlayıcı, zaman planı, uzaktan kumanda ile uyumlu</t>
  </si>
  <si>
    <t>Tapo WLAN akıllı priz Tapo P100, akıllı ev WiFi priz, Alexa aksesuarı, Alexa, Google Home, Tapo uygulaması ile çalışır, sesli kontrol, uzaktan erişim, hub gerekmez, mini, beyaz</t>
  </si>
  <si>
    <t>Mercusys MC410 KIT | Solar Panelli 2K Kablosuz Güvenlik Kamerası| Renkli Gece Görüşü |IP65 Dış Mekan|Dual-Band Wi-Fi |İnsan Algılama|Çift Yönlü Ses | Siren &amp; Alarm |Alexa &amp; Google Uyumlu</t>
  </si>
  <si>
    <t>TP-Link Tapo L930-10, Akıllı Wi-Fi Işık Şeridi, Çok Renkli, Wi-Fi Uygulama Kontrolü RGBW Çok Renkli LED Şerit, PU Kaplama, Müzikle Senkronizasyon, Alexa ve Google Home ve Apple HomeKit ile Çalışır</t>
  </si>
  <si>
    <t>TP-Link TL-POE2412G, PoE Adaptör</t>
  </si>
  <si>
    <t>TP-Link EAP223 AC1350 Kablosuz MU-MIMO Gigabit Tavan Montajlı Erişim Noktası</t>
  </si>
  <si>
    <t>Tp-link TL-WPA9610 KIT, AV2000 Gigabit Powerline ac Wi-Fi Kit</t>
  </si>
  <si>
    <t>TP-Link TL-SM5220-3M, 3 Meters 10G SFP+ Direct Attach Cable</t>
  </si>
  <si>
    <t>Tapo P110, Mini Akıllı Wi-Fi Soketi, Enerji İzleme, Amazon Alexa ve Google Home ile Çalışır, Uzaktan Kontrol, Cihaz Paylaşımı, Hub Gerekmez</t>
  </si>
  <si>
    <t>TP-Link Tapo RVA202 - Tapo Robot Süpürge Tek Kullanımlık Toz Torbası (5 Adet), Tapo RV30 Max Plus, Tapo RV20 Max Plus</t>
  </si>
  <si>
    <t>TP-Link TL-WA901ND, 450 Mbps Kablosuz 3x5dBi Değiştirilebilir Antenli WPS Pasif PoE Destekli Evrensel Access Point</t>
  </si>
  <si>
    <t>TP-Link TL-SM321A-2, 1000Base-BX WDM Bi-Directional SFP Module</t>
  </si>
  <si>
    <t>TP-Link RE450, AC1750 Mbps OneMesh Wi-Fi Menzil Genişletici, 1 Gigabit Bağlantı Noktası ve 3 Harici Anten, Access Point Modu ile Wi-Fi Güçlendirici/Hotspot</t>
  </si>
  <si>
    <t>TP-Link UH720, 7-Port 5Gbps 2 Adet Şarj Portu USB 3.0 Çoklayıcı</t>
  </si>
  <si>
    <t>TP-Link TL-WA901N, 450Mbps Wireless N Access Point</t>
  </si>
  <si>
    <t>TP-Link Archer C20, AC750 Mbps Kablosuz Dual-Band Access Point / Menzil Genişletici ve Router</t>
  </si>
  <si>
    <t>Tapo T315, Akıllı Sıcaklık ve Nem Monitörü, Ücretsiz Veri Depolama, LCD Ekran, Gerçek Zamanlı Bildirimler, Pil Dahildir, Alexa ve Google Home ile Çalışır, Tapo Hub Gereklidir Ayrıca Satılır</t>
  </si>
  <si>
    <t>Tapo RV30 Plus, LiDAR Navigasyonlu 4200PA Robot Süpürge ve Paspas + Akıllı Otomatik Boşaltma Ünitesi</t>
  </si>
  <si>
    <t>TP-Link TL-SX3016F, JetStream 16-Port 10GE SFP+ L2+ Managed Switch</t>
  </si>
  <si>
    <t>Tapo TP-Link RVA300, Robot Vakumlu Yıkanabilir Paspas Bezi, Yıkanabilir Paspas Bezi ×3 RV30 Plus, RV30, RV10 Plus, RV10 İçin Uygundur</t>
  </si>
  <si>
    <t>TP-Link TL-SL1311MP, 8-Port 10/100Mbps + 3-Port Gigabit Desktop Switch with 8-Port PoE+</t>
  </si>
  <si>
    <t>TP-Link Festa FR205, 1x WAN 2x WAN/LAN 2x LAN Gigabit Porları, Ücretsiz Bulut Yönetimi, 1 USB Port ile 4G/3G yedekleme, IPSec, PPTP, L2TP, and OpenVPN Destekli, Gigabit Load Balance VPN Router</t>
  </si>
  <si>
    <t>Tapo A200, Güvenlik Kamerası İçin 360° Ayarlanabilir Montajlı IP65 Sertifikalı Su ve Toz Geçirmez 4,5W'a Kadar Şarj Gücü 4m Şarj Kablolu Güneş Paneli</t>
  </si>
  <si>
    <t>TP-Link Deco X55 2-pack, AX3000 Mbps, Yapay Zeka Desteği, Gigabit Portları, 150 Cihaza Kadar Bağlanılabilirlik, 420 m²'ye Kadar Kapsama, Mobil Uygulama ile Kolay Kurulum, Wi-Fi 6 Mesh Sistemi</t>
  </si>
  <si>
    <t>TP-Link EAP610-Outdoor, AX1800 Dış Mekan Wi-Fi6 Kablosuz Erişim Noktası</t>
  </si>
  <si>
    <t>TP-Link Archer BE800, BE19000 Mbps Tri-Band Wi-Fi 7 Router, Fiber Destekli, 2× 10 Gbps WAN/LAN Port + 4× 2.5 Gbps Port, 6GHz 160 MHz Genişliği, VPN Destekli, Easy Mesh Uyumlu, HomeSheild</t>
  </si>
  <si>
    <t>TP-Link TL-WR844N, 300 Mbps Wi-Fi Router, Ebeveyn Denetimleri, All-in-one( Router, Access Point, Range Extender, WISP) Modları</t>
  </si>
  <si>
    <t>TP-Link TL-WPA8630 KIT, AV1300 Gigabit Powerline ac Wi-Fi Kit</t>
  </si>
  <si>
    <t>TP-Link Festa F52 Outdoor Modem AC1200 Mbps, Gigabit Dış Mekan Erişim Noktası, IP65 Su Geçirmez, Ücretsiz Bulut Yönetimi, Mesh, Uzun Menzilli, Kolay Kurulum, PoE Destekli (PoE Adaptör Dahil)</t>
  </si>
  <si>
    <t>TP-Link WBS510 5GHz 300Mbps Dış Mekan Kablosuz Dağıtım İstasyonu</t>
  </si>
  <si>
    <t>TP-Link Archer A6, AC1200 Mbps Wireless MU-MIMO Gigabit Router, 4 Gigabit LAN Bağlantı Noktası, Beamforming, WPA3, Access Point Modu, Ebeveyn Denetimleri</t>
  </si>
  <si>
    <t>TP-Link Deco M5(2-Pack), AC1300 Mbps Tüm Ev Mesh Wi-Fi Sistemi, Dual-Band, Gigabit Portları, 100 Cihaza Kadar Bağlanılabilirlik, 350 m²'ye Kadar Kapsama, Mobil Uygulama</t>
  </si>
  <si>
    <t>TP-Link UE330, USB 3.0 3-Port Hub ve Gigabit Ethernet Adaptör İkisi bir arada USB Adaptör</t>
  </si>
  <si>
    <t>TP-Link Archer C1200, AC1200 Mbps Kablosuz Dual Band Gigabit Access Point ve Router</t>
  </si>
  <si>
    <t>Tapo H200, MicroSD Kart Destekli Akıllı HUB, Tapo Akıllı Anahtar, Düğme ve Sensörle Çalışır, 64 Cihaz + 4 Kapı Zili/Kamera Bağlanabilir, 19 Zil Sesi Seçeneği, Kablolama Gerekmez</t>
  </si>
  <si>
    <t>TP-Link Archer T4U Plus, Siyah</t>
  </si>
  <si>
    <t>TP-Link TL-SF1005P, 5-Port 10/100Mbps Desktop Switch with 4-Port PoE+</t>
  </si>
  <si>
    <t>TP-Link EAP115-Wall, 300Mbps Wireless N Wall-Plate Access Point</t>
  </si>
  <si>
    <t>TP-Link UP540, 40W 5-Port USB Şarj Cihazı</t>
  </si>
  <si>
    <t>TP-Link Archer T4U Plus AC1300 Mbps Çift Antenli Yüksek Kazançlı Kablosuz USB Adaptörü</t>
  </si>
  <si>
    <t>TP-Link Archer C24, AC750 Mbps Dual-Band Router, Ebeveyn Denetimleri, All-in-one( Router, Access Point, Range Extender) Modları</t>
  </si>
  <si>
    <t>TP-Link Festa F41, N300Mbps, 10/100 Port, Festa Mesh, Kesintisiz Dolaşım, Ücretsiz Bulut Yönetimi, Pasif PoE Destekli, IP65 Sertifikalı, Wi-Fi 4 Dış Mekan Access Point</t>
  </si>
  <si>
    <t>TP-Link TL-R470T+, Load Balance 4-Port Broadband Router ( 10000 Concurrent Session PPPoE server Built-in firewall )</t>
  </si>
  <si>
    <t>TP-Link TL-PA9020 Kit, AV2000 2-Port Gigabit Powerline Başlangıç Kiti</t>
  </si>
  <si>
    <t>TP-Link Omada DR3220v-4G | 4G+ Cat6 Gigabit Rackmount DSL Gateway | VDSL2 35b (350 Mbps) | Çift Nano SIM Yedekleme | SFP Combo Port | VoIP | DPI Güvenlik | VPN (WireGuard) | Omada Bulut Yönetimi</t>
  </si>
  <si>
    <t>TP-Link CPE605, 5GHz 150Mbps 23dBi Outdoor CPE</t>
  </si>
  <si>
    <t>Tapo RV30, LiDAR Navigasyonlu 4200PA Robot Süpürge ve Paspas</t>
  </si>
  <si>
    <t>Tapo RVA200, Robot Vakumlu Tek Kullanımlık Toz Torbası, 4L Tek Kullanımlık Toz Torbası ×3 RV30 Plus, RV10 Plus İçin Uygundur</t>
  </si>
  <si>
    <t>TP-LINK TL-SF1016DS</t>
  </si>
  <si>
    <t>TP-Link TD-W8961N 300Mbps Kablosuz N ADSL2+ Modem Router</t>
  </si>
  <si>
    <t>TP-Link TL-SG3452X, JetStream 48-Port Gigabit L2+ Managed Switch with 4 10GE SFP+ Slots</t>
  </si>
  <si>
    <t>Tapo RV20 Mop Plus, MagSlim LiDAR Navigasyonlu Robot Süpürge ve Paspas+ Akıllı Otomatik Boşaltma İstasyonu, 2700Pa Güçlü Emiş, 3 Saat Kesintisiz Temizlik</t>
  </si>
  <si>
    <t>TP-Link Deco X20-DSL(1-pack), AX1800 Fiber Destekli VDSL Tüm Ev Mesh WiFi 6 Modem, Dual-Band, VDSL ve Fiber Destekli, Gigabit Ethernet Portları, 150 Cihaza Kadar Bağlantı, 200 m² 'ye Kadar Kapsama</t>
  </si>
  <si>
    <t>TP-Link Omada DR3650v-4G | AX3000 Wi-Fi 6 Gigabit DSL &amp; 4G+ Modem Router | VDSL2 35b (350 Mbps) | Çift Nano SIM LTE Yedekleme | VoIP (2x FXS) | VPN (WireGuard/IPSec) | Omada Merkezi Bulut Yönetimi</t>
  </si>
  <si>
    <t>TP-Link Archer C2300 AC2300 Wireless MU-MIMO Gigabit Router</t>
  </si>
  <si>
    <t>TP-Link TL-WPA4220T KIT, AV600 300Mbps Kablosuz Tak Kullan 2 LAN Portlu 300m Mesafeli Menzil Genişletici 3’lü Powerline Adaptör</t>
  </si>
  <si>
    <t>Tapo D210, 2K 3MP, Pille Çalışır, İki Yönlü Konuşma, IP64, Bulut/Yerel Depolama, Alexa ve Google Home ile Çalışır, Kolay Kurulum, Tapo Akıllı Görüntülü Renkli Gece Görüş Destekli Kapı Zili</t>
  </si>
  <si>
    <t>TP-Link Deco BE85 2-pack, BE19000 Mbps, 1x 10Gbps LAN/WAN Portu, 320 MHz Kanallar, 6 GHz Bandında Çalışır, 200 Cihaza Kadar Bağlanılabilirlik, VPN, WPA3, Üç Bantlı Wi-Fi 7 Mesh Sistemi</t>
  </si>
  <si>
    <t>TP-Link PG2400P KIT, G.hn2400 Priz Girişli Powerline Adaptör Kiti</t>
  </si>
  <si>
    <t>TP-Link RE365, 1200 Mbps AC Wi-Fi Priz Soketli Menzil Genişletici</t>
  </si>
  <si>
    <t>TP-Link TL-SG3452, JetStream 48-Port Gigabit L2 Managed Switch with 4 SFP Slots</t>
  </si>
  <si>
    <t>TP-Link Archer T4E, AC 1200 Mbps Wireless Dual Band PCI Express Adaptör</t>
  </si>
  <si>
    <t>Tapo C425 4-pack, 2K QHD Kablosuz Bataryalı Güvenlik Kamerası, Yapay Zeka Desteği, Renkli Gece Görüşü, 300 Gün Şarj Süresi, IP66, Yerel/Bulut Depolama, 150° Geniş Açılı, Solar Panel Desteği</t>
  </si>
  <si>
    <t>Mercusys MB135‑4G | AC1200 Dual Band 4G LTE Router | SIM Kartlı Kablosuz İnternet | 300 Mbps 2.4 GHz + 867 Mbps 5 GHz Wi‑Fi | 64 Cihaz Desteği | Nano SIM Plug &amp; Play | WAN Yedekli | Ebeveyn Kontrolü</t>
  </si>
  <si>
    <t>TP-Link TL-SG3428X, JetStream 24-Port Gigabit L2+ Managed Switch with 4 10GE SFP+ Slots</t>
  </si>
  <si>
    <t>TP-Link Archer GE230 Wi-Fi 7 Oyuncu Yönlendicisi, 3.6 Gbps, 2.5G Portlu, MLO ve 4K-QAM Teknolojili, RGB Aydınlatmalı, EasyMesh Uyumlu</t>
  </si>
  <si>
    <t>TP-Link TL-PA7010KIT, AV1000 Gigabit Powerline Başlangıç Kiti</t>
  </si>
  <si>
    <t>Mercusys MR47BE | BE9300 Wi-Fi 7 Üç Bant Oyuncu ve Ev Ağı Router | 9300 Mbps Ultra Hız | 6 GHz + 5 GHz + 2.4 GHz | MLO Teknolojisi | 4× 2.5G Port | 6× Yüksek Kazançlı Anten | EasyMesh | WPA3 Güvenlik</t>
  </si>
  <si>
    <t>TP-Link Archer VR1200, AC1200 Mbps Wireless Dual Band Gigabit VDSL/ADSL Modem Router</t>
  </si>
  <si>
    <t>TP-Link RE350 AC1200, 1200Mbps Menzil Genişletici</t>
  </si>
  <si>
    <t>Tapo C420S1, 2K QHD Kablosuz Bataryalı Güvenlik Kamerası, Yapay Zeka Desteği, Renkli Gece Görüşü, 180 Gün Şarj Süresi, Su Geçirmez, Yerel/Bulut Depolama, Sesli Alarm, Solar Panel Desteği + HUB</t>
  </si>
  <si>
    <t>Tapo RV30 Max Robot Süpürge, Silme Fonksiyonlu, 5300 Pa Ultra Güçlü Emiş Gücü, LiDAR + IMU Dual Navigasyon, Alexa Ses Kontrolü, Uygulama</t>
  </si>
  <si>
    <t>TP-Link Deco M3W, Tüm Decolarla Uyumlu Ek Ünite AC1200 Çift Bantlı WiFi</t>
  </si>
  <si>
    <t>TP-Link TL-MR3420, 300Mbps N Kablosuz 4-Port 2x5dBi Değiştirilebilir Antenli Bağlantı Korumalı Denetlenebilir IP WPS 3G/</t>
  </si>
  <si>
    <t>TP-Link T2600G-18TS(TL-SG3216), JetStream 16-Port Gigabit L3/L2+ Yönetilebilir Switch (2 Combo SFP Slotlu)</t>
  </si>
  <si>
    <t>TP-Link TL-ANT2409A, 2.4GHz 9dBi Yönlü Anten</t>
  </si>
  <si>
    <t>Tp-Link T1600G-52Ps(Tl-Sg2452P), Jetstream 48-Port Gigabit Smart Poe+ Switch With 4 Sfp Slots</t>
  </si>
  <si>
    <t>TP-LINK Archer C50 V3 AC1200 Kablosuz Çift-yöneltici</t>
  </si>
  <si>
    <t>TP-Link Deco X80(3-Pack), AX6000 Tüm Ev Mesh WiFi 6 Sistemi</t>
  </si>
  <si>
    <t>TP-Link TL-POE200, Power over Ethernet Adaptör Kiti</t>
  </si>
  <si>
    <t>TP-Link TL-POE10R Gigabit Ethernet PoE Dağıtıcı Adaptörü</t>
  </si>
  <si>
    <t>TP-Link Archer 5400X, AC5400 MU-MIMO Üç Bant Oyuncu Router</t>
  </si>
  <si>
    <t>Tapo A201, Güvenlik Kamerası İçin 360° Ayarlanabilir Montajlı IP65 Sertifikalı Su ve Toz Geçirmez 2,5W'a Kadar Şarj Gücü 4m Şarj Kablolu Güneş Paneli</t>
  </si>
  <si>
    <t>TP-Link TL-SG1218MP, 18-Port Gigabit Rackmount Switch with 16 PoE+</t>
  </si>
  <si>
    <t>TP-Link Deco X90(2-pack), AX6600 Mbps Tüm Evi Kapsayan Wi-Fi Mesh Sistemi</t>
  </si>
  <si>
    <t>TP-Link Rapo RVA410 - Su Geçirmez Robot Süpürge Matı, RV30 Max &amp; RV20 Max İle Uyumlu, Parke ya da Halılarınızı Neme ve Islak Silme Pedlerine Karşı Korur</t>
  </si>
  <si>
    <t>TP-LINK TL-SG1210MP v2 - Anahtar - 10 Anschl¼sse - yönetilmeyen</t>
  </si>
  <si>
    <t>TP-Link TL-SG2210MP, JetStream 10-Port Gigabit Smart Switch with 8-Port PoE+</t>
  </si>
  <si>
    <t>Mercusys MB430-DSL | AC1200 Gigabit VDSL/ADSL Modem Router | 350 Mbps Süper VDSL (Profil 35b) | Fiber Uyumlu | EasyMesh Desteği | Çift Bant Wi-Fi | USB Port | 4x Gigabit Port | Mercusys App Kontrol</t>
  </si>
  <si>
    <t>TP-Link TL-R480T+, Load Balance Broadband Router</t>
  </si>
  <si>
    <t>TL-PA7027P KIT, AV1000 2-Port Gigabit Passthrough Powerline Starter Kit</t>
  </si>
  <si>
    <t>TP-Link Tapo T30 KIT - Akıllı Ev Sensörleri Başlangıç Kiti, Akıllı Hub, Hareket Sensörü, 2* Kapı/Pencere Kontak Sensörü</t>
  </si>
  <si>
    <t>TP-Link TL-WPA8630P KIT, AV1200 Gigabit Passthrough Powerline ac Wi-Fi Kit</t>
  </si>
  <si>
    <t>TP-Link Deco X20(1-pack), AX1800 Mbps Tüm Ev Mesh Wi-Fi 6 Sistemi, 1 GHz CPU, Yapay Zeka Desteği, Gigabit Portları, 150 Cihaza Kadar Bağlanılabilirlik, 200 m²'ye Kadar Kapsama, HomeSheild</t>
  </si>
  <si>
    <t>TP-Link TL-WA860RE, N300 Mbps Wi-Fi Priz Soketli Menzil Genişletici</t>
  </si>
  <si>
    <t>TP-Link TD-W9970 300 Mbps Fiber EWAN VPN Ebeveyn Kontrolü VDSL ADSL2+ USB Port Modem/Router</t>
  </si>
  <si>
    <t>TP-Link RE405BE | BE6500 Wi-Fi 7 Menzil Genişletici | 6.5 Gbps Hız | 2.5G Multi-Gigabit Port | Sinyal Güçlendirici | EasyMesh Desteği | Akıllı Roaming | Tether Uygulaması | Kolay Kurulum</t>
  </si>
  <si>
    <t>TP-Link Deco S7 1-pack, AC1900 Mbps, Dual-Band, Gigabit Portları, 100'den Fazla Cihaz Bağlantısı, Mobil Uygulama ile Kolay Kurulum, Wi-Fi 5 Mesh Sistemi</t>
  </si>
  <si>
    <t>TP-Link Deco P9(2-pack), AC1200+AV1000 Tüm Ev Hybrid Mesh Wi-Fi Sistemi, Powerline/Mesh Hibrit, Gigabit Portları, 100 Cihaza Kadar Bağlantı, 260 m²'ye Kadar Kapsama, Mobil Uygulama</t>
  </si>
  <si>
    <t>Mercusys ME70X, AX1800 Wi-Fi 6 Menzil Genişletici</t>
  </si>
  <si>
    <t>Tapo S110E WLAN ve Bluetooth akıllı röle şalteri, kuru/ıslak kontak, 1 kanal, 10 A, ışık şalteri, garaj kapısı açıcı, enerji algılama, Alexa ile uyumlu, mat ile uyumlu, hub gerekli değildir</t>
  </si>
  <si>
    <t>TP-Link Deco X50-PoE 3-pack, AX3000 Mbps, PoE Destekli, Dual-Band, 2,5Gbps Ethernet Portu, 150 Cihaza Kadar Bağlantı, 600 m² 'ye Kadar Kapsama, Mobil Uygulama ile Kolay Kurulum, Wi-Fi 6 Mesh Sistemi</t>
  </si>
  <si>
    <t>TP-Link TL-ANT2414A, 2.4Ghz 14Dbi Dış Mekan Yönlü Anten</t>
  </si>
  <si>
    <t>TP-Link RE650, AC2600 Mbps OneMesh Wi-Fi Menzil Genişletici, 1 Gigabit Bağlantı Noktalı Wi-Fi Güçlendirici/Hotspot, Çift Çekirdekli CPU, Access Point Modu, Tüm Wi-Fi Yönlendiriciler ile Çalışır</t>
  </si>
  <si>
    <t>TP-Link TL-SG2016P, JetStream 16-Port Gigabit Smart Switch with 8-Port PoE+</t>
  </si>
  <si>
    <t>TP-Link TP-Link JetStream 8-Port Gigabit Smart PoE Switch (TL-SG2210P)</t>
  </si>
  <si>
    <t>TP-Link RE270K, Akıllı Prizli Wi-Fi Range Extender</t>
  </si>
  <si>
    <t>Tapo A202 | Akıllı Güvenlik Kameraları İçin Güneş Paneli | 4.5W Yüksek Verimli Şarj | 4 Metre Kablo | IP65 Su Geçirmez | Monokristal Silikon Hücreler | Kesintisiz Güç Kaynağı</t>
  </si>
  <si>
    <t>TP-Link EAP650-Wall, AX3000 Mbps Duvar Tipi WiFi 6 Access Point</t>
  </si>
  <si>
    <t>TP-Link Deco X55 1-pack, AX3000 Mbps, Yapay Zeka Desteği, Gigabit Portları, 150 Cihaza Kadar Bağlanılabilirlik, 230 m²'ye Kadar Kapsama, Mobil Uygulama ile Kolay Kurulum, Wi-Fi 6 Mesh Sistemi</t>
  </si>
  <si>
    <t>Tapo C425 2-pack, 2K QHD Kablosuz Bataryalı Güvenlik Kamerası, Yapay Zeka Desteği, Renkli Gece Görüşü, 300 Gün Şarj Süresi, IP66, Yerel/Bulut Depolama, 150° Geniş Açılı, Solar Panel Desteği</t>
  </si>
  <si>
    <t>TP-Link EAP650; AX3000 Mbps Tavan Tipi WiFi 6 Access Point</t>
  </si>
  <si>
    <t>TP-Link Deco X20-4G, AX1800 Tüm Ev Mesh WiFi 6 4G+ Router, SIM Kart ile 4G Bağlantısı, Gigabit Ethernet Portları, 150 Cihaza Kadar Bağlantı, 200 m² 'ye Kadar Kapsama</t>
  </si>
  <si>
    <t>TP-Link Archer GE800, BE19000 Mbps, Fiber Destekli, 2× 10 Gbps WAN/LAN Port + 4× 2.5 Gbps Port, 6GHz 320 MHz Kanalı, VPN Destekli, Easy Mesh Uyumlu, HomeSheild, Tri-Band Wi-Fi 7 Router</t>
  </si>
  <si>
    <t>TP-Link RE200 AC750 Range Extender, RE200_AC750</t>
  </si>
  <si>
    <t>Tapo L900-5, 5 Metre Çok Renkli Akıllı Wi-Fi Şerit Led, Alexa ve Google Assistant ile Uyumlu Ses Kontrolü, Müzikle Senkronizasyon</t>
  </si>
  <si>
    <t>TL-PA8010 KIT, AV1300 Gigabit Powerline Starter Kit</t>
  </si>
  <si>
    <t>TP-Link TD-W9970 4 Port VDSL Modem + Router</t>
  </si>
  <si>
    <t>TP-Link Tapo H500 | Akıllı Ev Merkezi &amp; CentralHub | 16GB Dahili Depolama, AI Yüz Tanıma, 64 Sensör ve 16 Kamera Desteği | 2.5" SATA HDD/SSD Desteği | HDMI Video Çıkışı</t>
  </si>
  <si>
    <t>TP-Link T1500G-10MPS, 2 SFP Yuvalı JetStream 8-Port Gigabit Smart PoE+ Switch</t>
  </si>
  <si>
    <t>TP-Link ER7212PC, Omada 3-in-1 Gigabit VPN Router</t>
  </si>
  <si>
    <t>TP-Link TL-SL1218P, 16-Port 10/100 Mbps + 2-Port Gigabit Rackmount Switch with 16-Port PoE+</t>
  </si>
  <si>
    <t>TP-Link TL-WPA7510 KIT, AC750 Mbps Kablosuz 1000 Mbps Kablolu Gigabit Powerline</t>
  </si>
  <si>
    <t>Tapo L930-5, Akıllı Wi-Fi Işık Şeridi, Çok Renkli, Wi-Fi Uygulama Kontrolü RGBW Çok Renkli LED Şerit, PU Kaplama, Müzikle Senkronizasyon, Alexa ve Google Home ve Apple HomeKit ile Çalışır</t>
  </si>
  <si>
    <t>TP-Link Tapo RV30 Max Plus, Akıllı Otomatik Boşaltma Ünitesi, 5300Pa Yüksek Vakum Güçlü, Amazon Alexa ve Google Asistan Destekli, Robot Süpürge ve Paspas</t>
  </si>
  <si>
    <t>TP-Link TL-WR941HP, 450 Mbps N 4 Portlu 3x9dBi Değiştirilebilir Antenli Kablosuz Yüksek Güçlü Router / Access Point / Menzil Genişletici</t>
  </si>
  <si>
    <t>TP-Link HS100, Kablosuz Akıllı Priz</t>
  </si>
  <si>
    <t>TP-Link TL-SG1024D Gigabit Masaüstü Anahtar, Siyah, 24'lü</t>
  </si>
  <si>
    <t>Tapo C720, Akıllı Projektör Kamerası, 2K QHD, 2800 Lumen, Hareketle Etkinleşen Projektör, Yapay Zeka Desteği, IP65, Yerel/Bulut Depolama</t>
  </si>
  <si>
    <t>TP-Link TL-WN822N, N300 Mbps Yüksek Kazanımlı Kablosuz USB Adaptör, 2x3dBi Anten, 1.5 m USB Kablolu, Beyaz</t>
  </si>
  <si>
    <t>TP-Link TD-W8960N, 300Mbps Kablosuz N Adsl2+ Modem Router</t>
  </si>
  <si>
    <t>TP-Link TL-PA7010P KIT, AV1000 Gigabit Passthrough Powerline Başlangıç Kiti</t>
  </si>
  <si>
    <t>Tapo, Tapo Rva100, Robot Süpürge Değiştirme Kiti, Ana Fırça ×1, Yan Fırça ×2, Hepa Filtre ×2 Tapo Rv30 Plus, Tapo Rv30, Tapo Rv10 Plus, Tapo Rv10 Için Uygundur, Beyaz</t>
  </si>
  <si>
    <t>Tapo P110 4-pack, Enerji İzleme, Amazon Alexa ve Google Home ile Çalışır, Uzaktan Kontrol, Cihaz Paylaşımı, Hub Gerekmez, Mini Akıllı Wi-Fi Soketi</t>
  </si>
  <si>
    <t>TP-Link Archer Air E5, AX3000 Dual-Band Wi-Fi 6 Air Router&amp;Menzil Genişletici, Gigabit Port, Ultra İnce Tasarım, EasyMesh Destekli, Xbox/PS/Steam için İdeal, WPA3, Esnek Kurulum Seçenekleri</t>
  </si>
  <si>
    <t>TP-Link TL-SG3210XHP-M2, JetStream 8-Port 2.5GBASE-T and 2-Port 10GE SFP+ L2+ Managed Switch with 8-Port PoE+</t>
  </si>
  <si>
    <t>TP-Link TL-SG1218MPE, JetStream 16-Port Gigabit 2 SFP Yuvalı Easy Smart PoE + Switch</t>
  </si>
  <si>
    <t>Tapo TP-Link C211 2K 3MP Yatay ve Dikey Ev Güvenliği Wi-Fi Kamerası</t>
  </si>
  <si>
    <t>TP-Link TL-WR841N, 300Mbps Kablosuz N Router</t>
  </si>
  <si>
    <t>TP-Link RE550, AC1900 Mbps, 1 Gigabit Bağlantı Noktalı Wi-Fi Güçlendirici/Hotspot, Access Point Modu, Tüm Yönlendiriciler ile Çalışır, Wi-Fi 5 Menzil Genişletici</t>
  </si>
  <si>
    <t>TP-Link TL-SG3428XMP, JetStream 24-Port Gigabit and 4-Port 10GE SFP+ L2+ Managed Switch with 24-Port PoE+</t>
  </si>
  <si>
    <t>TP-Link MC210CS, Gigabit Ethernet Medya Dönüştürücü</t>
  </si>
  <si>
    <t>TP-Link TL-PoE160S, PoE İnjektör</t>
  </si>
  <si>
    <t>TP-Link Tapo RV10, Robot Süpürge ve Paspas</t>
  </si>
  <si>
    <t>TP-Link TL-WPS510U, 150Mbps Cep Tipi Kablosuz Print Server</t>
  </si>
  <si>
    <t>TP-Link EAP230-Wall, Omada AC1200 Wireless MU-MIMO Gigabit Wall-Plate Access Point</t>
  </si>
  <si>
    <t>Tapo C420S2, 2K QHD Kablosuz Bataryalı Güvenlik Kamerası, Yapay Zeka Desteği, Renkli Gece Görüşü, 180 Gün Şarj Süresi, Su Geçirmez, Yerel/Bulut Depolama, Sesli Alarm, Solar Panel Desteği + HUB</t>
  </si>
  <si>
    <t>EAP610</t>
  </si>
  <si>
    <t>TP-Link Archer C9, AC1900 Mbps Kablosuz Dual Band Gigabit Access Point ve Router</t>
  </si>
  <si>
    <t>Tapo H500 HomeBase, 16 GB entegre, bellek 16 TB'a kadar genişletilebilir, 16 Tapo kamera ve 64 sensör, yerel bellek, HDMI, 5 GHz WLAN/Ethernet, entegre alarm, Matter uyumlu</t>
  </si>
  <si>
    <t>TP-Link TL-SG1048, 48-Port Gigabit Rackmount Switch</t>
  </si>
  <si>
    <t>Tp-Link Tl-Ant2424B, 2.4Ghz 24Dbi Grid Parabolik Anten</t>
  </si>
  <si>
    <t>TP-Link TL-POE4818G, 48V Passive PoE Adapter</t>
  </si>
  <si>
    <t>TP-Link TL-WN823N 300Mbps Wi-Fi Mini USB Adaptör</t>
  </si>
  <si>
    <t>TP-Link TL-WR3002X | AX3000 Gigabit Wi-Fi 6 Taşınabilir Seyahat Router | 2.5G WAN | USB Paylaşım | VPN Destekli | Powerbank ile Çalışır</t>
  </si>
  <si>
    <t>TP-Link AC500 Kablosuz Denetleyici</t>
  </si>
  <si>
    <t>TP-Link T1500-28PCT (TL-SL2428P) JetStream 24-Port 10/100Mbps + 4-Port Gigabit Smart PoE+</t>
  </si>
  <si>
    <t>TP-Link Deco X68(3-pack), AX3600 Whole Home Mesh WiFi 6 System</t>
  </si>
  <si>
    <t>TP-Link M7650, 600Mbps LTE-Advanced Mobile Wi-Fi</t>
  </si>
  <si>
    <t>TP‑Link Archer NB450 | 5G BE7200 Wi‑Fi 7 Router | 4.67 Gbps 5G Hız | Dual‑Band Wi‑Fi 7 | 2.5 Gbps Ethernet | EasyMesh Uyumlu | Nano SIM Kart | 200 Cihaz Desteği | Kolay Kurulum</t>
  </si>
  <si>
    <t>Tapo C400S2, 1080P Full HD Kablosuz Bataryalı Güvenlik Kamerası, Yapay Zeka Desteği, Gece Görüşü, 180 Gün Şarj Süresi, Su Geçirmez, Yerel/Bulut Depolama, Sesli Alarm, Solar Panel Desteği + HUB</t>
  </si>
  <si>
    <t>TP-Link TL-SM311LS, MiniGBIC Modülü</t>
  </si>
  <si>
    <t>TP-Link Deco XE75(3-pack), AXE5400 Tri-Band Mesh Wi-Fi 6E Sistemi, 6GHZ ve 160MHZ, WPA3 Koruması, Gigabit Portları, 200 Cihaza Kadar Bağlanılabilirlik, 670 m²'ye kadar kapsama, Yapay Zeka Desteği</t>
  </si>
  <si>
    <t>TP-Link Deco X55 3-pack, AX3000 Mbps, Yapay Zeka Desteği, Gigabit Portları, 150 Cihaza Kadar Bağlanılabilirlik, 600 m²'ye Kadar Kapsama, Mobil Uygulama ile Kolay Kurulum, Wi-Fi 6 Mesh Sistemi</t>
  </si>
  <si>
    <t>Tapo L630 2-pack, Akıllı Wi-Fi Spot Işığı, Ayarlanabilir Parlaklık, Çok Renkli, GU10 Lamba Tabanı, Uzaktan Kumanda, Enerji Tasarrufu, Alexa ve Google Home ile Çalışır, Hub Gerektirmez</t>
  </si>
  <si>
    <t>TP-Link TL-WR940N, 450Mbps Kablosuz WPS Destekli Access Point / Menzil Genişletici / Router</t>
  </si>
  <si>
    <t>TP-Link RE190, AC750 Mbps Wi-Fi Menzil Genişletici</t>
  </si>
  <si>
    <t>TP-Link Tapo H110 | Akıllı IR + IoT Hub | Kızılötesi Cihaz Kontrolü | 8000+ Marka Uyumu | Matter Sertifikalı | Sesli Komut | Otomasyon &amp; Mobil Erişim</t>
  </si>
  <si>
    <t>TP-Link CPE710, 5GHz AC867 Mbps 23dBi Dış Mekan CPE</t>
  </si>
  <si>
    <t>Tapo C425 KIT Güneş Gözetleme Kamerası Dış Mekan Pili, 2K Çözünürlük, Renkli Gece Görüşü, MicroSD Bellek, 10000 mAh Pil, 150° Süper Geniş Açı Görüş Alanı, İki Yönlü Ses, Alexa ve Google</t>
  </si>
  <si>
    <t>TP-Link TL-WA1801, AX1800 Çift Bantlı Gigabir Portlu Wi-Fi 6 Access Point, Pasif PoE'yi destekler, Erişim Noktasını, Menzil Genişleticiyi, Çoklu SSID'yi destekler, Artırılmış Kapsama Alanı</t>
  </si>
  <si>
    <t>TP-Link EAP235-Wall, 12000MBPS Kablosuz Dual Band Duvar Tipi Access Point</t>
  </si>
  <si>
    <t>TP-Link Kasa akıllı radyatör termostatı, dijital termostat, hub, enerji tasarrufu, zaman planı, uygulama üzerinden yoldayken kontrol, Alexa ve Google Assistant (Türkçe olmayabilir)</t>
  </si>
  <si>
    <t>TP-Link Deco XE75(1-pack), AXE5400 Tri-Band Mesh Wi-Fi 6E Sistemi, 6GHZ ve 160MHZ, WPA3 Koruması, Gigabit Portları, 200 Cihaza Kadar Bağlanılabilirlik, 270 m²'ye kadar kapsama, Yapay Zeka Desteği</t>
  </si>
  <si>
    <t>TP-Link Deco P9(3-pack), AC1200+AV1000 Tüm Ev Hybrid Mesh Wi-Fi Sistemi</t>
  </si>
  <si>
    <t>Mercusys MA72XH | AX1800 Wi-Fi 6 Kablosuz USB Adaptör | 1800 Mbps Çift Bant (1201 Mbps 5GHz + 574 Mbps 2.4GHz) | Çift Anten| USB 3.0|Dahili Sürücü|MU-MIMO &amp; OFDMA|WPA3 Güvenlik | Windows 10/11</t>
  </si>
  <si>
    <t>TP-Link EAP615-Wall, AX1800 Duvara Monte Wi-Fi 6 Erişim Noktası</t>
  </si>
  <si>
    <t>TP-Link TL-PA4020P KIT, AV600 Passthrough 2 Portlu Powerline Başlangıç Kiti</t>
  </si>
  <si>
    <t>TP-Link TL-SG3428, JetStream 24-Port Gigabit L2 Managed Switch with 4 SFP Slots</t>
  </si>
  <si>
    <t>TP-Link Archer C1200 AC1200 Gigabit çift bant WLAN yönlendirici (300 Mbit/s (2,4 GHz) + 867 Mbit/s (5 GHz), kablo, DSL, cam elyafı modem bağlantısı, USB 2.0, Media/FTP/Print sunucu), siyah</t>
  </si>
  <si>
    <t>TP-Link ‎TL-FC311B-20, Gigabit WDM Media Dönüştürücü</t>
  </si>
  <si>
    <t>TP-Link Archer AX20, AX1800 Mbps Dual-Band Wi-Fi 6 Router, Fiber Destekli, 4 Gigabit LAN Portları + 1 USB 2.0 Port, WPA3, Çift Çekirdekli İşlemci, Oyun için İdeal Xbox/PS4/Steam ve 4K</t>
  </si>
  <si>
    <t>TP-Link TL-SG2008 Yönetilebilir Gigabit Ethernet (10/100/1000) JetStream 8-Port Smart Switch, Siyah</t>
  </si>
  <si>
    <t>TP-Link TL-SG1024, 24-Port Gigabit Rackmount Switch</t>
  </si>
  <si>
    <t>TP-Link T1600G-18TS(TL-SG2216), JetStream16-Port Gigabit Smart Switch with 2 SFP Slot</t>
  </si>
  <si>
    <t>TP-Link TL-SG2428P, JetStream 28-Port Gigabit Smart Switch with 24-Port PoE+</t>
  </si>
  <si>
    <t>TP‑Link Deco BE68 3‑Pack | BE14000 Tri‑Band Mesh Wi‑Fi 7 Router | 14 Gbps Hız | 10 Gbps + 2.5 Gbps + 1 Gbps Ethernet | AI Mesh &amp; Seamless Roaming | HomeShield Güvenlik | Geniş Kapsama | Kolay Kurulum</t>
  </si>
  <si>
    <t>Tapo C411 KIT 2K Solar Güvenlik Kamerası, Dış Mekan İçin, Çıkarılamaz Pil, Renkli Gece Görüşü, WLAN 2,4 GHz, İki Yönlü Ses, Kişi Tanıma, MicroSD Kart veya H500 Homebase üzerinden yerel depolama</t>
  </si>
  <si>
    <t>TP-Link RE230, AC750 Wi-Fi Menzil Genişletici</t>
  </si>
  <si>
    <t>TP-Link Deco S7 3-pack, AC1900 Mbps, Dual-Band, Gigabit Portları, 520 m²'ye kadar Kapsama Alanı, 100'den Fazla Cihaz Bağlantısı, Mobil Uygulama ile Kolay Kurulum, Wi-Fi 5 Mesh Sistemi</t>
  </si>
  <si>
    <t>TP-Link EAP245, AC1750 Kablosuz MU-MIMO Gigabit Tavana Monte Erişim Noktası</t>
  </si>
  <si>
    <t>TP-Link TL-WR850N, 300 Mbps Kablosuz 4 Portlu Menzil Genişletici/Access Point/Router</t>
  </si>
  <si>
    <t>TP-Link Deco PX10(3-pack) | AX1500 + AV1000 Hibrit Powerline Mesh Wi-Fi 6 Sistemi | Elektrik Hattı Üzerinden İnternet | Gigabit Port | Yapay Zeka Destekli | HomeShield Güvenlik | Tüm Ev Kapsama</t>
  </si>
  <si>
    <t>TP-Link OC300, Omada Hardware Controller</t>
  </si>
  <si>
    <t>TP-Link TL-WR820N, 300 Mbps, Ebeveyn Denetimleri, All-in-one( Router, Access Point, Range Extender, WISP) Modları, Wi-Fi Router</t>
  </si>
  <si>
    <t>TP-Link TL-SG2218, JetStream 16-Port Gigabit Smart Switch with 2 SFP Slots</t>
  </si>
  <si>
    <t>TP-Link RE220, AC750 Wi-Fi Menzil Genişletici</t>
  </si>
  <si>
    <t>TP-Link TL-POE170S, PoE++ Injector</t>
  </si>
  <si>
    <t>TP-Link TL-SF1006P, 6-Port 10/100Mbps Desktop Switch with 4-Port PoE+</t>
  </si>
  <si>
    <t>TP-Link Deco X60 3-pack, AX5400 Mbps, 1 GHz Dört Çekirdekli CPU, WPA3, OFDMA ve MU-MIMO, 150 Cihaza Kadar Bağlantı, 650 m²'ye Kadar Kapsama, Mobil Uygulama ile Kolay Kurulum, Wi-Fi 6 Mesh Sistemi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</si>
</sst>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formatCode="[black] #,##0; [red](#,##0); 0;" numFmtId="164"/>
    <numFmt formatCode="[black] #,##0.00; [red](#,##0.00); 0.00;" numFmtId="165"/>
    <numFmt formatCode="[black] #,##0.##; [red](#,##0.##); 0.00;" numFmtId="166"/>
    <numFmt formatCode="[black] #,##0.00%; [red](#,##0.00%); 0.00%;" numFmtId="167"/>
    <numFmt formatCode="yyyy-mm-dd" numFmtId="168"/>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22">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fontId="0" applyNumberFormat="1" numFmtId="168"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6" xfId="0"/>
    <xf applyBorder="1" borderId="1" fillId="0" applyFont="1" fontId="3" applyNumberFormat="1" numFmtId="164" xfId="0"/>
    <xf applyBorder="1" borderId="1" fillId="0" applyFont="1" fontId="3" applyNumberFormat="1" numFmtId="165" xfId="0"/>
    <xf applyBorder="1" borderId="1" fillId="0" applyFont="1" fontId="3" applyNumberFormat="1" numFmtId="167" xfId="0"/>
    <xf borderId="0" fillId="0" applyFont="1" fontId="2" numFmtId="0" xfId="0"/>
    <xf borderId="0" fillId="0" fontId="0" applyNumberFormat="1" numFmtId="166" xfId="0"/>
    <xf borderId="0" fillId="0" fontId="0" applyNumberFormat="1" numFmtId="164" xfId="0"/>
    <xf borderId="0" fillId="0" fontId="0" applyNumberFormat="1" numFmtId="165" xfId="0"/>
    <xf borderId="0" fillId="0" fontId="0" applyNumberFormat="1" numFmtId="167"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50" hidden="0" bestFit="0" customWidth="1"/>
    <col min="2" max="2" width="50" hidden="0" bestFit="0" customWidth="1"/>
    <col min="3" max="3" width="28"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28" hidden="0" bestFit="0" customWidth="1"/>
    <col min="13" max="13"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c r="L1" t="s" s="3">
        <v>11</v>
      </c>
      <c r="M1" t="s" s="3">
        <v>12</v>
      </c>
    </row>
    <row r="2" hidden="0" ht="15" customHeight="1" spans="1:1">
      <c r="A2" t="s" s="11">
        <v>13</v>
      </c>
      <c r="B2" t="s" s="12">
        <v/>
      </c>
      <c r="C2" t="s" s="12">
        <v/>
      </c>
      <c r="D2" t="n" s="13">
        <v>15519784.84</v>
      </c>
      <c r="E2" t="n" s="14">
        <v>9526</v>
      </c>
      <c r="F2" t="n" s="15">
        <v>1636.3</v>
      </c>
      <c r="G2" t="n" s="14">
        <v>200878</v>
      </c>
      <c r="H2" t="n" s="16">
        <v>0.0294</v>
      </c>
      <c r="I2" t="n" s="13">
        <v>16099980.1</v>
      </c>
      <c r="J2" t="n" s="13">
        <v>89679.84</v>
      </c>
      <c r="K2" t="n" s="15">
        <v>1690.11</v>
      </c>
      <c r="L2" t="n" s="16">
        <v>0.1714</v>
      </c>
      <c r="M2" t="n" s="14">
        <v>601</v>
      </c>
    </row>
    <row r="3" hidden="0" ht="15" customHeight="1" spans="1:1">
      <c r="A3" t="str" s="17">
        <f>HYPERLINK("https://amazon.com/dp/B09LVFNMVJ", "B09LVFNMVJ")</f>
      </c>
      <c r="B3" t="s">
        <v>14</v>
      </c>
      <c r="C3" t="s">
        <v>15</v>
      </c>
      <c r="D3" t="n" s="18">
        <v>662589.07</v>
      </c>
      <c r="E3" t="n" s="19">
        <v>136</v>
      </c>
      <c r="F3" t="n" s="20">
        <v>4975.27</v>
      </c>
      <c r="G3" t="n" s="19">
        <v>3068</v>
      </c>
      <c r="H3" t="n" s="21">
        <v>0.0355</v>
      </c>
      <c r="I3" t="n" s="18">
        <v>659558.62</v>
      </c>
      <c r="J3" t="n" s="18">
        <v>911.25</v>
      </c>
      <c r="K3" t="n" s="20">
        <v>4849.7</v>
      </c>
      <c r="L3" t="n" s="21">
        <v>0.1945</v>
      </c>
      <c r="M3" t="n" s="19">
        <v>7</v>
      </c>
    </row>
    <row r="4" hidden="0" ht="15" customHeight="1" spans="1:1">
      <c r="A4" t="str" s="17">
        <f>HYPERLINK("https://amazon.com/dp/B07TV5WQ78", "B07TV5WQ78")</f>
      </c>
      <c r="B4" t="s">
        <v>16</v>
      </c>
      <c r="C4" t="s">
        <v>15</v>
      </c>
      <c r="D4" t="n" s="18">
        <v>594385.79</v>
      </c>
      <c r="E4" t="n" s="19">
        <v>194</v>
      </c>
      <c r="F4" t="n" s="20">
        <v>3100.96</v>
      </c>
      <c r="G4" t="n" s="19">
        <v>3209</v>
      </c>
      <c r="H4" t="n" s="21">
        <v>0.0571</v>
      </c>
      <c r="I4" t="n" s="18">
        <v>679298.93</v>
      </c>
      <c r="J4" t="n" s="18">
        <v>877.61</v>
      </c>
      <c r="K4" t="n" s="20">
        <v>3501.54</v>
      </c>
      <c r="L4" t="n" s="21">
        <v>0.1913</v>
      </c>
      <c r="M4" t="n" s="19">
        <v>11</v>
      </c>
    </row>
    <row r="5" hidden="0" ht="15" customHeight="1" spans="1:1">
      <c r="A5" t="str" s="17">
        <f>HYPERLINK("https://amazon.com/dp/B0BRRH519K", "B0BRRH519K")</f>
      </c>
      <c r="B5" t="s">
        <v>17</v>
      </c>
      <c r="C5" t="s">
        <v>15</v>
      </c>
      <c r="D5" t="n" s="18">
        <v>489551.93</v>
      </c>
      <c r="E5" t="n" s="19">
        <v>22</v>
      </c>
      <c r="F5" t="n" s="20">
        <v>22252.36</v>
      </c>
      <c r="G5" t="n" s="19">
        <v>864</v>
      </c>
      <c r="H5" t="n" s="21">
        <v>0.0253</v>
      </c>
      <c r="I5" t="n" s="18">
        <v>472316.23</v>
      </c>
      <c r="J5" t="n" s="18">
        <v>0</v>
      </c>
      <c r="K5" t="n" s="20">
        <v>21468.92</v>
      </c>
      <c r="L5" t="n" s="21">
        <v>0.204</v>
      </c>
      <c r="M5" t="n" s="19">
        <v>1</v>
      </c>
    </row>
    <row r="6" hidden="0" ht="15" customHeight="1" spans="1:1">
      <c r="A6" t="str" s="17">
        <f>HYPERLINK("https://amazon.com/dp/B09LVG58VX", "B09LVG58VX")</f>
      </c>
      <c r="B6" t="s">
        <v>18</v>
      </c>
      <c r="C6" t="s">
        <v>15</v>
      </c>
      <c r="D6" t="n" s="18">
        <v>432769.31</v>
      </c>
      <c r="E6" t="n" s="19">
        <v>50</v>
      </c>
      <c r="F6" t="n" s="20">
        <v>8498.35</v>
      </c>
      <c r="G6" t="n" s="19">
        <v>2432</v>
      </c>
      <c r="H6" t="n" s="21">
        <v>0.020499999999999997</v>
      </c>
      <c r="I6" t="n" s="18">
        <v>398138.1</v>
      </c>
      <c r="J6" t="n" s="18">
        <v>166.67</v>
      </c>
      <c r="K6" t="n" s="20">
        <v>7962.76</v>
      </c>
      <c r="L6" t="n" s="21">
        <v>0.22640000000000002</v>
      </c>
      <c r="M6" t="n" s="19">
        <v>5</v>
      </c>
    </row>
    <row r="7" hidden="0" ht="15" customHeight="1" spans="1:1">
      <c r="A7" t="str" s="17">
        <f>HYPERLINK("https://amazon.com/dp/B0CJCLWF8N", "B0CJCLWF8N")</f>
      </c>
      <c r="B7" t="s">
        <v>19</v>
      </c>
      <c r="C7" t="s">
        <v>15</v>
      </c>
      <c r="D7" t="n" s="18">
        <v>432168.08</v>
      </c>
      <c r="E7" t="n" s="19">
        <v>162</v>
      </c>
      <c r="F7" t="n" s="20">
        <v>2642.64</v>
      </c>
      <c r="G7" t="n" s="19">
        <v>3902</v>
      </c>
      <c r="H7" t="n" s="21">
        <v>0.026600000000000002</v>
      </c>
      <c r="I7" t="n" s="18">
        <v>520518.91</v>
      </c>
      <c r="J7" t="n" s="18">
        <v>2087.4</v>
      </c>
      <c r="K7" t="n" s="20">
        <v>3213.08</v>
      </c>
      <c r="L7" t="n" s="21">
        <v>0.1442</v>
      </c>
      <c r="M7" t="n" s="19">
        <v>14</v>
      </c>
    </row>
    <row r="8" hidden="0" ht="15" customHeight="1" spans="1:1">
      <c r="A8" t="str" s="17">
        <f>HYPERLINK("https://amazon.com/dp/B0CJJ733W3", "B0CJJ733W3")</f>
      </c>
      <c r="B8" t="s">
        <v>20</v>
      </c>
      <c r="C8" t="s">
        <v>15</v>
      </c>
      <c r="D8" t="n" s="18">
        <v>412586.78</v>
      </c>
      <c r="E8" t="n" s="19">
        <v>30</v>
      </c>
      <c r="F8" t="n" s="20">
        <v>14231.59</v>
      </c>
      <c r="G8" t="n" s="19">
        <v>1189</v>
      </c>
      <c r="H8" t="n" s="21">
        <v>0.0241</v>
      </c>
      <c r="I8" t="n" s="18">
        <v>431096.19</v>
      </c>
      <c r="J8" t="n" s="18">
        <v>229.17</v>
      </c>
      <c r="K8" t="n" s="20">
        <v>14369.87</v>
      </c>
      <c r="L8" t="n" s="21">
        <v>0.1664</v>
      </c>
      <c r="M8" t="n" s="19">
        <v>1</v>
      </c>
    </row>
    <row r="9" hidden="0" ht="15" customHeight="1" spans="1:1">
      <c r="A9" t="str" s="17">
        <f>HYPERLINK("https://amazon.com/dp/B0DXV1P593", "B0DXV1P593")</f>
      </c>
      <c r="B9" t="s">
        <v>21</v>
      </c>
      <c r="C9" t="s">
        <v>22</v>
      </c>
      <c r="D9" t="n" s="18">
        <v>383975.22</v>
      </c>
      <c r="E9" t="n" s="19">
        <v>277</v>
      </c>
      <c r="F9" t="n" s="20">
        <v>1440.72</v>
      </c>
      <c r="G9" t="n" s="19">
        <v>2830</v>
      </c>
      <c r="H9" t="n" s="21">
        <v>0.0788</v>
      </c>
      <c r="I9" t="n" s="18">
        <v>467674.61</v>
      </c>
      <c r="J9" t="n" s="18">
        <v>2276.47</v>
      </c>
      <c r="K9" t="n" s="20">
        <v>1688.36</v>
      </c>
      <c r="L9" t="n" s="21">
        <v>0.0275</v>
      </c>
      <c r="M9" t="n" s="19">
        <v>10</v>
      </c>
    </row>
    <row r="10" hidden="0" ht="15" customHeight="1" spans="1:1">
      <c r="A10" t="str" s="17">
        <f>HYPERLINK("https://amazon.com/dp/B0CDCL6FLC", "B0CDCL6FLC")</f>
      </c>
      <c r="B10" t="s">
        <v>23</v>
      </c>
      <c r="C10" t="s">
        <v>22</v>
      </c>
      <c r="D10" t="n" s="18">
        <v>343264.88</v>
      </c>
      <c r="E10" t="n" s="19">
        <v>285</v>
      </c>
      <c r="F10" t="n" s="20">
        <v>1268.9</v>
      </c>
      <c r="G10" t="n" s="19">
        <v>3431</v>
      </c>
      <c r="H10" t="n" s="21">
        <v>0.0559</v>
      </c>
      <c r="I10" t="n" s="18">
        <v>392980.41</v>
      </c>
      <c r="J10" t="n" s="18">
        <v>6800.37</v>
      </c>
      <c r="K10" t="n" s="20">
        <v>1378.88</v>
      </c>
      <c r="L10" t="n" s="21">
        <v>0.08470000000000001</v>
      </c>
      <c r="M10" t="n" s="19">
        <v>10</v>
      </c>
    </row>
    <row r="11" hidden="0" ht="15" customHeight="1" spans="1:1">
      <c r="A11" t="str" s="17">
        <f>HYPERLINK("https://amazon.com/dp/B0BN4BQ1DM", "B0BN4BQ1DM")</f>
      </c>
      <c r="B11" t="s">
        <v>24</v>
      </c>
      <c r="C11" t="s">
        <v>22</v>
      </c>
      <c r="D11" t="n" s="18">
        <v>329754.49</v>
      </c>
      <c r="E11" t="n" s="19">
        <v>160</v>
      </c>
      <c r="F11" t="n" s="20">
        <v>1989.32</v>
      </c>
      <c r="G11" t="n" s="19">
        <v>2393</v>
      </c>
      <c r="H11" t="n" s="21">
        <v>0.054000000000000006</v>
      </c>
      <c r="I11" t="n" s="18">
        <v>364118.07</v>
      </c>
      <c r="J11" t="n" s="18">
        <v>1204.16</v>
      </c>
      <c r="K11" t="n" s="20">
        <v>2275.74</v>
      </c>
      <c r="L11" t="n" s="21">
        <v>0.08130000000000001</v>
      </c>
      <c r="M11" t="n" s="19">
        <v>6</v>
      </c>
    </row>
    <row r="12" hidden="0" ht="15" customHeight="1" spans="1:1">
      <c r="A12" t="str" s="17">
        <f>HYPERLINK("https://amazon.com/dp/B07XLML2YS", "B07XLML2YS")</f>
      </c>
      <c r="B12" t="s">
        <v>25</v>
      </c>
      <c r="C12" t="s">
        <v>22</v>
      </c>
      <c r="D12" t="n" s="18">
        <v>293759.83</v>
      </c>
      <c r="E12" t="n" s="19">
        <v>302</v>
      </c>
      <c r="F12" t="n" s="20">
        <v>920.44</v>
      </c>
      <c r="G12" t="n" s="19">
        <v>5532</v>
      </c>
      <c r="H12" t="n" s="21">
        <v>0.0405</v>
      </c>
      <c r="I12" t="n" s="18">
        <v>295361.55</v>
      </c>
      <c r="J12" t="n" s="18">
        <v>2235.41</v>
      </c>
      <c r="K12" t="n" s="20">
        <v>978.02</v>
      </c>
      <c r="L12" t="n" s="21">
        <v>0.1734</v>
      </c>
      <c r="M12" t="n" s="19">
        <v>14</v>
      </c>
    </row>
    <row r="13" hidden="0" ht="15" customHeight="1" spans="1:1">
      <c r="A13" t="str" s="17">
        <f>HYPERLINK("https://amazon.com/dp/B0D6W2BPFC", "B0D6W2BPFC")</f>
      </c>
      <c r="B13" t="s">
        <v>26</v>
      </c>
      <c r="C13" t="s">
        <v>15</v>
      </c>
      <c r="D13" t="n" s="18">
        <v>280718.47</v>
      </c>
      <c r="E13" t="n" s="19">
        <v>28</v>
      </c>
      <c r="F13" t="n" s="20">
        <v>10025.66</v>
      </c>
      <c r="G13" t="n" s="19">
        <v>904</v>
      </c>
      <c r="H13" t="n" s="21">
        <v>0.027000000000000003</v>
      </c>
      <c r="I13" t="n" s="18">
        <v>314796.08</v>
      </c>
      <c r="J13" t="n" s="18">
        <v>0</v>
      </c>
      <c r="K13" t="n" s="20">
        <v>11242.72</v>
      </c>
      <c r="L13" t="n" s="21">
        <v>0.0748</v>
      </c>
      <c r="M13" t="n" s="19">
        <v>2</v>
      </c>
    </row>
    <row r="14" hidden="0" ht="15" customHeight="1" spans="1:1">
      <c r="A14" t="str" s="17">
        <f>HYPERLINK("https://amazon.com/dp/B07L45LZP5", "B07L45LZP5")</f>
      </c>
      <c r="B14" t="s">
        <v>27</v>
      </c>
      <c r="C14" t="s">
        <v>15</v>
      </c>
      <c r="D14" t="n" s="18">
        <v>278888.64</v>
      </c>
      <c r="E14" t="n" s="19">
        <v>60</v>
      </c>
      <c r="F14" t="n" s="20">
        <v>4652.56</v>
      </c>
      <c r="G14" t="n" s="19">
        <v>1127</v>
      </c>
      <c r="H14" t="n" s="21">
        <v>0.0527</v>
      </c>
      <c r="I14" t="n" s="18">
        <v>277091.59</v>
      </c>
      <c r="J14" t="n" s="18">
        <v>250</v>
      </c>
      <c r="K14" t="n" s="20">
        <v>4618.19</v>
      </c>
      <c r="L14" t="n" s="21">
        <v>0.1802</v>
      </c>
      <c r="M14" t="n" s="19">
        <v>1</v>
      </c>
    </row>
    <row r="15" hidden="0" ht="15" customHeight="1" spans="1:1">
      <c r="A15" t="str" s="17">
        <f>HYPERLINK("https://amazon.com/dp/B09BMXXW6N", "B09BMXXW6N")</f>
      </c>
      <c r="B15" t="s">
        <v>28</v>
      </c>
      <c r="C15" t="s">
        <v>15</v>
      </c>
      <c r="D15" t="n" s="18">
        <v>240446.37</v>
      </c>
      <c r="E15" t="n" s="19">
        <v>113</v>
      </c>
      <c r="F15" t="n" s="20">
        <v>2116.36</v>
      </c>
      <c r="G15" t="n" s="19">
        <v>3061</v>
      </c>
      <c r="H15" t="n" s="21">
        <v>0.0327</v>
      </c>
      <c r="I15" t="n" s="18">
        <v>272330.55</v>
      </c>
      <c r="J15" t="n" s="18">
        <v>1052.96</v>
      </c>
      <c r="K15" t="n" s="20">
        <v>2410</v>
      </c>
      <c r="L15" t="n" s="21">
        <v>0.22440000000000002</v>
      </c>
      <c r="M15" t="n" s="19">
        <v>12</v>
      </c>
    </row>
    <row r="16" hidden="0" ht="15" customHeight="1" spans="1:1">
      <c r="A16" t="str" s="17">
        <f>HYPERLINK("https://amazon.com/dp/B0D5BCN87V", "B0D5BCN87V")</f>
      </c>
      <c r="B16" t="s">
        <v>29</v>
      </c>
      <c r="C16" t="s">
        <v>22</v>
      </c>
      <c r="D16" t="n" s="18">
        <v>235470.52</v>
      </c>
      <c r="E16" t="n" s="19">
        <v>85</v>
      </c>
      <c r="F16" t="n" s="20">
        <v>2710.36</v>
      </c>
      <c r="G16" t="n" s="19">
        <v>1886</v>
      </c>
      <c r="H16" t="n" s="21">
        <v>0.0397</v>
      </c>
      <c r="I16" t="n" s="18">
        <v>224946.43</v>
      </c>
      <c r="J16" t="n" s="18">
        <v>555.48</v>
      </c>
      <c r="K16" t="n" s="20">
        <v>2646.43</v>
      </c>
      <c r="L16" t="n" s="21">
        <v>0.19140000000000001</v>
      </c>
      <c r="M16" t="n" s="19">
        <v>4</v>
      </c>
    </row>
    <row r="17" hidden="0" ht="15" customHeight="1" spans="1:1">
      <c r="A17" t="str" s="17">
        <f>HYPERLINK("https://amazon.com/dp/B07KJ2TDMR", "B07KJ2TDMR")</f>
      </c>
      <c r="B17" t="s">
        <v>30</v>
      </c>
      <c r="C17" t="s">
        <v>15</v>
      </c>
      <c r="D17" t="n" s="18">
        <v>223056.29</v>
      </c>
      <c r="E17" t="n" s="19">
        <v>69</v>
      </c>
      <c r="F17" t="n" s="20">
        <v>3194.58</v>
      </c>
      <c r="G17" t="n" s="19">
        <v>2079</v>
      </c>
      <c r="H17" t="n" s="21">
        <v>0.0333</v>
      </c>
      <c r="I17" t="n" s="18">
        <v>217993.15</v>
      </c>
      <c r="J17" t="n" s="18">
        <v>666.67</v>
      </c>
      <c r="K17" t="n" s="20">
        <v>3159.32</v>
      </c>
      <c r="L17" t="n" s="21">
        <v>0.18109999999999998</v>
      </c>
      <c r="M17" t="n" s="19">
        <v>4</v>
      </c>
    </row>
    <row r="18" hidden="0" ht="15" customHeight="1" spans="1:1">
      <c r="A18" t="str" s="17">
        <f>HYPERLINK("https://amazon.com/dp/B0D6W2Z4XZ", "B0D6W2Z4XZ")</f>
      </c>
      <c r="B18" t="s">
        <v>31</v>
      </c>
      <c r="C18" t="s">
        <v>15</v>
      </c>
      <c r="D18" t="n" s="18">
        <v>222328.31</v>
      </c>
      <c r="E18" t="n" s="19">
        <v>98</v>
      </c>
      <c r="F18" t="n" s="20">
        <v>2248.18</v>
      </c>
      <c r="G18" t="n" s="19">
        <v>3756</v>
      </c>
      <c r="H18" t="n" s="21">
        <v>0.024300000000000002</v>
      </c>
      <c r="I18" t="n" s="18">
        <v>266558.16</v>
      </c>
      <c r="J18" t="n" s="18">
        <v>437.5</v>
      </c>
      <c r="K18" t="n" s="20">
        <v>2719.98</v>
      </c>
      <c r="L18" t="n" s="21">
        <v>0.1602</v>
      </c>
      <c r="M18" t="n" s="19">
        <v>17</v>
      </c>
    </row>
    <row r="19" hidden="0" ht="15" customHeight="1" spans="1:1">
      <c r="A19" t="str" s="17">
        <f>HYPERLINK("https://amazon.com/dp/B0859MDSFX", "B0859MDSFX")</f>
      </c>
      <c r="B19" t="s">
        <v>32</v>
      </c>
      <c r="C19" t="s">
        <v>15</v>
      </c>
      <c r="D19" t="n" s="18">
        <v>208540.34</v>
      </c>
      <c r="E19" t="n" s="19">
        <v>92</v>
      </c>
      <c r="F19" t="n" s="20">
        <v>2327.47</v>
      </c>
      <c r="G19" t="n" s="19">
        <v>1550</v>
      </c>
      <c r="H19" t="n" s="21">
        <v>0.0545</v>
      </c>
      <c r="I19" t="n" s="18">
        <v>227773.92</v>
      </c>
      <c r="J19" t="n" s="18">
        <v>973.67</v>
      </c>
      <c r="K19" t="n" s="20">
        <v>2475.8</v>
      </c>
      <c r="L19" t="n" s="21">
        <v>0.11789999999999999</v>
      </c>
      <c r="M19" t="n" s="19">
        <v>14</v>
      </c>
    </row>
    <row r="20" hidden="0" ht="15" customHeight="1" spans="1:1">
      <c r="A20" t="str" s="17">
        <f>HYPERLINK("https://amazon.com/dp/B0FMR6CSTD", "B0FMR6CSTD")</f>
      </c>
      <c r="B20" t="s">
        <v>33</v>
      </c>
      <c r="C20" t="s">
        <v>22</v>
      </c>
      <c r="D20" t="n" s="18">
        <v>196270.62</v>
      </c>
      <c r="E20" t="n" s="19">
        <v>67</v>
      </c>
      <c r="F20" t="n" s="20">
        <v>2934.08</v>
      </c>
      <c r="G20" t="n" s="19">
        <v>4062</v>
      </c>
      <c r="H20" t="n" s="21">
        <v>0.0148</v>
      </c>
      <c r="I20" t="n" s="18">
        <v>188657.26</v>
      </c>
      <c r="J20" t="n" s="18">
        <v>289.63</v>
      </c>
      <c r="K20" t="n" s="20">
        <v>2815.78</v>
      </c>
      <c r="L20" t="n" s="21">
        <v>0.20679999999999998</v>
      </c>
      <c r="M20" t="n" s="19">
        <v>0</v>
      </c>
    </row>
    <row r="21" hidden="0" ht="15" customHeight="1" spans="1:1">
      <c r="A21" t="str" s="17">
        <f>HYPERLINK("https://amazon.com/dp/B09PRG6MJX", "B09PRG6MJX")</f>
      </c>
      <c r="B21" t="s">
        <v>34</v>
      </c>
      <c r="C21" t="s">
        <v>15</v>
      </c>
      <c r="D21" t="n" s="18">
        <v>189897.1</v>
      </c>
      <c r="E21" t="n" s="19">
        <v>97</v>
      </c>
      <c r="F21" t="n" s="20">
        <v>1938.88</v>
      </c>
      <c r="G21" t="n" s="19">
        <v>2172</v>
      </c>
      <c r="H21" t="n" s="21">
        <v>0.0407</v>
      </c>
      <c r="I21" t="n" s="18">
        <v>218696.98</v>
      </c>
      <c r="J21" t="n" s="18">
        <v>656.78</v>
      </c>
      <c r="K21" t="n" s="20">
        <v>2254.61</v>
      </c>
      <c r="L21" t="n" s="21">
        <v>0.18469999999999998</v>
      </c>
      <c r="M21" t="n" s="19">
        <v>9</v>
      </c>
    </row>
    <row r="22" hidden="0" ht="15" customHeight="1" spans="1:1">
      <c r="A22" t="str" s="17">
        <f>HYPERLINK("https://amazon.com/dp/B0D6W3T4M3", "B0D6W3T4M3")</f>
      </c>
      <c r="B22" t="s">
        <v>35</v>
      </c>
      <c r="C22" t="s">
        <v>15</v>
      </c>
      <c r="D22" t="n" s="18">
        <v>188246.56</v>
      </c>
      <c r="E22" t="n" s="19">
        <v>33</v>
      </c>
      <c r="F22" t="n" s="20">
        <v>6518.59</v>
      </c>
      <c r="G22" t="n" s="19">
        <v>744</v>
      </c>
      <c r="H22" t="n" s="21">
        <v>0.0256</v>
      </c>
      <c r="I22" t="n" s="18">
        <v>226096.3</v>
      </c>
      <c r="J22" t="n" s="18">
        <v>0</v>
      </c>
      <c r="K22" t="n" s="20">
        <v>6851.4</v>
      </c>
      <c r="L22" t="n" s="21">
        <v>0.1329</v>
      </c>
      <c r="M22" t="n" s="19">
        <v>2</v>
      </c>
    </row>
    <row r="23" hidden="0" ht="15" customHeight="1" spans="1:1">
      <c r="A23" t="str" s="17">
        <f>HYPERLINK("https://amazon.com/dp/B0F1Z7SB2N", "B0F1Z7SB2N")</f>
      </c>
      <c r="B23" t="s">
        <v>36</v>
      </c>
      <c r="C23" t="s">
        <v>22</v>
      </c>
      <c r="D23" t="n" s="18">
        <v>179870.82</v>
      </c>
      <c r="E23" t="n" s="19">
        <v>81</v>
      </c>
      <c r="F23" t="n" s="20">
        <v>2178.85</v>
      </c>
      <c r="G23" t="n" s="19">
        <v>2834</v>
      </c>
      <c r="H23" t="n" s="21">
        <v>0.015700000000000002</v>
      </c>
      <c r="I23" t="n" s="18">
        <v>211977.21</v>
      </c>
      <c r="J23" t="n" s="18">
        <v>833.09</v>
      </c>
      <c r="K23" t="n" s="20">
        <v>2617</v>
      </c>
      <c r="L23" t="n" s="21">
        <v>0.18780000000000002</v>
      </c>
      <c r="M23" t="n" s="19">
        <v>1</v>
      </c>
    </row>
    <row r="24" hidden="0" ht="15" customHeight="1" spans="1:1">
      <c r="A24" t="str" s="17">
        <f>HYPERLINK("https://amazon.com/dp/B0F3PDJC9F", "B0F3PDJC9F")</f>
      </c>
      <c r="B24" t="s">
        <v>37</v>
      </c>
      <c r="C24" t="s">
        <v>22</v>
      </c>
      <c r="D24" t="n" s="18">
        <v>165749.73</v>
      </c>
      <c r="E24" t="n" s="19">
        <v>36</v>
      </c>
      <c r="F24" t="n" s="20">
        <v>4611.02</v>
      </c>
      <c r="G24" t="n" s="19">
        <v>1174</v>
      </c>
      <c r="H24" t="n" s="21">
        <v>0.026000000000000002</v>
      </c>
      <c r="I24" t="n" s="18">
        <v>159763.1</v>
      </c>
      <c r="J24" t="n" s="18">
        <v>250</v>
      </c>
      <c r="K24" t="n" s="20">
        <v>4437.86</v>
      </c>
      <c r="L24" t="n" s="21">
        <v>0.2045</v>
      </c>
      <c r="M24" t="n" s="19">
        <v>0</v>
      </c>
    </row>
    <row r="25" hidden="0" ht="15" customHeight="1" spans="1:1">
      <c r="A25" t="str" s="17">
        <f>HYPERLINK("https://amazon.com/dp/B077PZLGVB", "B077PZLGVB")</f>
      </c>
      <c r="B25" t="s">
        <v>38</v>
      </c>
      <c r="C25" t="s">
        <v>15</v>
      </c>
      <c r="D25" t="n" s="18">
        <v>162410.28</v>
      </c>
      <c r="E25" t="n" s="19">
        <v>109</v>
      </c>
      <c r="F25" t="n" s="20">
        <v>1436.91</v>
      </c>
      <c r="G25" t="n" s="19">
        <v>2931</v>
      </c>
      <c r="H25" t="n" s="21">
        <v>0.0146</v>
      </c>
      <c r="I25" t="n" s="18">
        <v>156082.55</v>
      </c>
      <c r="J25" t="n" s="18">
        <v>1718.96</v>
      </c>
      <c r="K25" t="n" s="20">
        <v>1431.95</v>
      </c>
      <c r="L25" t="n" s="21">
        <v>0.16690000000000002</v>
      </c>
      <c r="M25" t="n" s="19">
        <v>14</v>
      </c>
    </row>
    <row r="26" hidden="0" ht="15" customHeight="1" spans="1:1">
      <c r="A26" t="str" s="17">
        <f>HYPERLINK("https://amazon.com/dp/B08R6JH8DG", "B08R6JH8DG")</f>
      </c>
      <c r="B26" t="s">
        <v>39</v>
      </c>
      <c r="C26" t="s">
        <v>15</v>
      </c>
      <c r="D26" t="n" s="18">
        <v>158323.19</v>
      </c>
      <c r="E26" t="n" s="19">
        <v>125</v>
      </c>
      <c r="F26" t="n" s="20">
        <v>1158.21</v>
      </c>
      <c r="G26" t="n" s="19">
        <v>1465</v>
      </c>
      <c r="H26" t="n" s="21">
        <v>0.0617</v>
      </c>
      <c r="I26" t="n" s="18">
        <v>177091.02</v>
      </c>
      <c r="J26" t="n" s="18">
        <v>529.24</v>
      </c>
      <c r="K26" t="n" s="20">
        <v>1416.73</v>
      </c>
      <c r="L26" t="n" s="21">
        <v>-0.0006</v>
      </c>
      <c r="M26" t="n" s="19">
        <v>7</v>
      </c>
    </row>
    <row r="27" hidden="0" ht="15" customHeight="1" spans="1:1">
      <c r="A27" t="str" s="17">
        <f>HYPERLINK("https://amazon.com/dp/B0F3PCWSWB", "B0F3PCWSWB")</f>
      </c>
      <c r="B27" t="s">
        <v>40</v>
      </c>
      <c r="C27" t="s">
        <v>22</v>
      </c>
      <c r="D27" t="n" s="18">
        <v>146316.02</v>
      </c>
      <c r="E27" t="n" s="19">
        <v>28</v>
      </c>
      <c r="F27" t="n" s="20">
        <v>5237.58</v>
      </c>
      <c r="G27" t="n" s="19">
        <v>1238</v>
      </c>
      <c r="H27" t="n" s="21">
        <v>0.022099999999999998</v>
      </c>
      <c r="I27" t="n" s="18">
        <v>137749.51</v>
      </c>
      <c r="J27" t="n" s="18">
        <v>388.6</v>
      </c>
      <c r="K27" t="n" s="20">
        <v>4919.63</v>
      </c>
      <c r="L27" t="n" s="21">
        <v>0.2224</v>
      </c>
      <c r="M27" t="n" s="19">
        <v>2</v>
      </c>
    </row>
    <row r="28" hidden="0" ht="15" customHeight="1" spans="1:1">
      <c r="A28" t="str" s="17">
        <f>HYPERLINK("https://amazon.com/dp/B0C4SN9V5K", "B0C4SN9V5K")</f>
      </c>
      <c r="B28" t="s">
        <v>41</v>
      </c>
      <c r="C28" t="s">
        <v>15</v>
      </c>
      <c r="D28" t="n" s="18">
        <v>143818.37</v>
      </c>
      <c r="E28" t="n" s="19">
        <v>105</v>
      </c>
      <c r="F28" t="n" s="20">
        <v>1363.57</v>
      </c>
      <c r="G28" t="n" s="19">
        <v>3284</v>
      </c>
      <c r="H28" t="n" s="21">
        <v>0.0285</v>
      </c>
      <c r="I28" t="n" s="18">
        <v>135736.39</v>
      </c>
      <c r="J28" t="n" s="18">
        <v>521.29</v>
      </c>
      <c r="K28" t="n" s="20">
        <v>1292.73</v>
      </c>
      <c r="L28" t="n" s="21">
        <v>0.2</v>
      </c>
      <c r="M28" t="n" s="19">
        <v>16</v>
      </c>
    </row>
    <row r="29" hidden="0" ht="15" customHeight="1" spans="1:1">
      <c r="A29" t="str" s="17">
        <f>HYPERLINK("https://amazon.com/dp/B07P7KM4Y6", "B07P7KM4Y6")</f>
      </c>
      <c r="B29" t="s">
        <v>42</v>
      </c>
      <c r="C29" t="s">
        <v>15</v>
      </c>
      <c r="D29" t="n" s="18">
        <v>142732.55</v>
      </c>
      <c r="E29" t="n" s="19">
        <v>60</v>
      </c>
      <c r="F29" t="n" s="20">
        <v>2107.68</v>
      </c>
      <c r="G29" t="n" s="19">
        <v>2127</v>
      </c>
      <c r="H29" t="n" s="21">
        <v>0.0169</v>
      </c>
      <c r="I29" t="n" s="18">
        <v>160717.2</v>
      </c>
      <c r="J29" t="n" s="18">
        <v>500.67</v>
      </c>
      <c r="K29" t="n" s="20">
        <v>2678.62</v>
      </c>
      <c r="L29" t="n" s="21">
        <v>0.0837</v>
      </c>
      <c r="M29" t="n" s="19">
        <v>0</v>
      </c>
    </row>
    <row r="30" hidden="0" ht="15" customHeight="1" spans="1:1">
      <c r="A30" t="str" s="17">
        <f>HYPERLINK("https://amazon.com/dp/B0DJFPX6BW", "B0DJFPX6BW")</f>
      </c>
      <c r="B30" t="s">
        <v>43</v>
      </c>
      <c r="C30" t="s">
        <v>15</v>
      </c>
      <c r="D30" t="n" s="18">
        <v>132547.55</v>
      </c>
      <c r="E30" t="n" s="19">
        <v>23</v>
      </c>
      <c r="F30" t="n" s="20">
        <v>5509.44</v>
      </c>
      <c r="G30" t="n" s="19">
        <v>1414</v>
      </c>
      <c r="H30" t="n" s="21">
        <v>0.0168</v>
      </c>
      <c r="I30" t="n" s="18">
        <v>127231.5</v>
      </c>
      <c r="J30" t="n" s="18">
        <v>0</v>
      </c>
      <c r="K30" t="n" s="20">
        <v>5531.8</v>
      </c>
      <c r="L30" t="n" s="21">
        <v>0.17170000000000002</v>
      </c>
      <c r="M30" t="n" s="19">
        <v>2</v>
      </c>
    </row>
    <row r="31" hidden="0" ht="15" customHeight="1" spans="1:1">
      <c r="A31" t="str" s="17">
        <f>HYPERLINK("https://amazon.com/dp/B0FBGN1GWB", "B0FBGN1GWB")</f>
      </c>
      <c r="B31" t="s">
        <v>44</v>
      </c>
      <c r="C31" t="s">
        <v>45</v>
      </c>
      <c r="D31" t="n" s="18">
        <v>128389.83</v>
      </c>
      <c r="E31" t="n" s="19">
        <v>27</v>
      </c>
      <c r="F31" t="n" s="20">
        <v>5145.79</v>
      </c>
      <c r="G31" t="n" s="19">
        <v>571</v>
      </c>
      <c r="H31" t="n" s="21">
        <v>0.038599999999999995</v>
      </c>
      <c r="I31" t="n" s="18">
        <v>141936.66</v>
      </c>
      <c r="J31" t="n" s="18">
        <v>354.17</v>
      </c>
      <c r="K31" t="n" s="20">
        <v>5256.91</v>
      </c>
      <c r="L31" t="n" s="21">
        <v>0.15460000000000002</v>
      </c>
      <c r="M31" t="n" s="19">
        <v>2</v>
      </c>
    </row>
    <row r="32" hidden="0" ht="15" customHeight="1" spans="1:1">
      <c r="A32" t="str" s="17">
        <f>HYPERLINK("https://amazon.com/dp/B0D6W1FWJG", "B0D6W1FWJG")</f>
      </c>
      <c r="B32" t="s">
        <v>46</v>
      </c>
      <c r="C32" t="s">
        <v>15</v>
      </c>
      <c r="D32" t="n" s="18">
        <v>127152.45</v>
      </c>
      <c r="E32" t="n" s="19">
        <v>37</v>
      </c>
      <c r="F32" t="n" s="20">
        <v>3444.39</v>
      </c>
      <c r="G32" t="n" s="19">
        <v>745</v>
      </c>
      <c r="H32" t="n" s="21">
        <v>0.043899999999999995</v>
      </c>
      <c r="I32" t="n" s="18">
        <v>143012.67</v>
      </c>
      <c r="J32" t="n" s="18">
        <v>291.67</v>
      </c>
      <c r="K32" t="n" s="20">
        <v>3865.21</v>
      </c>
      <c r="L32" t="n" s="21">
        <v>0.0719</v>
      </c>
      <c r="M32" t="n" s="19">
        <v>2</v>
      </c>
    </row>
    <row r="33" hidden="0" ht="15" customHeight="1" spans="1:1">
      <c r="A33" t="str" s="17">
        <f>HYPERLINK("https://amazon.com/dp/B0FZ42SM7R", "B0FZ42SM7R")</f>
      </c>
      <c r="B33" t="s">
        <v>47</v>
      </c>
      <c r="C33" t="s">
        <v>45</v>
      </c>
      <c r="D33" t="n" s="18">
        <v>127124.28</v>
      </c>
      <c r="E33" t="n" s="19">
        <v>123</v>
      </c>
      <c r="F33" t="n" s="20">
        <v>1067.21</v>
      </c>
      <c r="G33" t="n" s="19">
        <v>1629</v>
      </c>
      <c r="H33" t="n" s="21">
        <v>0.0458</v>
      </c>
      <c r="I33" t="n" s="18">
        <v>143717.82</v>
      </c>
      <c r="J33" t="n" s="18">
        <v>973.81</v>
      </c>
      <c r="K33" t="n" s="20">
        <v>1168.44</v>
      </c>
      <c r="L33" t="n" s="21">
        <v>0.08779999999999999</v>
      </c>
      <c r="M33" t="n" s="19">
        <v>3</v>
      </c>
    </row>
    <row r="34" hidden="0" ht="15" customHeight="1" spans="1:1">
      <c r="A34" t="str" s="17">
        <f>HYPERLINK("https://amazon.com/dp/B08FSJD59S", "B08FSJD59S")</f>
      </c>
      <c r="B34" t="s">
        <v>48</v>
      </c>
      <c r="C34" t="s">
        <v>22</v>
      </c>
      <c r="D34" t="n" s="18">
        <v>126988.16</v>
      </c>
      <c r="E34" t="n" s="19">
        <v>316</v>
      </c>
      <c r="F34" t="n" s="20">
        <v>409.5</v>
      </c>
      <c r="G34" t="n" s="19">
        <v>2420</v>
      </c>
      <c r="H34" t="n" s="21">
        <v>0.131</v>
      </c>
      <c r="I34" t="n" s="18">
        <v>127401.72</v>
      </c>
      <c r="J34" t="n" s="18">
        <v>8320.82</v>
      </c>
      <c r="K34" t="n" s="20">
        <v>403.17</v>
      </c>
      <c r="L34" t="n" s="21">
        <v>0.1235</v>
      </c>
      <c r="M34" t="n" s="19">
        <v>1</v>
      </c>
    </row>
    <row r="35" hidden="0" ht="15" customHeight="1" spans="1:1">
      <c r="A35" t="str" s="17">
        <f>HYPERLINK("https://amazon.com/dp/B00C2ICYPC", "B00C2ICYPC")</f>
      </c>
      <c r="B35" t="s">
        <v>49</v>
      </c>
      <c r="C35" t="s">
        <v>15</v>
      </c>
      <c r="D35" t="n" s="18">
        <v>113748.35</v>
      </c>
      <c r="E35" t="n" s="19">
        <v>55</v>
      </c>
      <c r="F35" t="n" s="20">
        <v>2109.49</v>
      </c>
      <c r="G35" t="n" s="19">
        <v>1354</v>
      </c>
      <c r="H35" t="n" s="21">
        <v>0.0391</v>
      </c>
      <c r="I35" t="n" s="18">
        <v>110883.85</v>
      </c>
      <c r="J35" t="n" s="18">
        <v>225.74</v>
      </c>
      <c r="K35" t="n" s="20">
        <v>2016.07</v>
      </c>
      <c r="L35" t="n" s="21">
        <v>0.1953</v>
      </c>
      <c r="M35" t="n" s="19">
        <v>5</v>
      </c>
    </row>
    <row r="36" hidden="0" ht="15" customHeight="1" spans="1:1">
      <c r="A36" t="str" s="17">
        <f>HYPERLINK("https://amazon.com/dp/B085PFRFKX", "B085PFRFKX")</f>
      </c>
      <c r="B36" t="s">
        <v>50</v>
      </c>
      <c r="C36" t="s">
        <v>15</v>
      </c>
      <c r="D36" t="n" s="18">
        <v>112797.74</v>
      </c>
      <c r="E36" t="n" s="19">
        <v>63</v>
      </c>
      <c r="F36" t="n" s="20">
        <v>1789.44</v>
      </c>
      <c r="G36" t="n" s="19">
        <v>735</v>
      </c>
      <c r="H36" t="n" s="21">
        <v>0.0567</v>
      </c>
      <c r="I36" t="n" s="18">
        <v>114988.5</v>
      </c>
      <c r="J36" t="n" s="18">
        <v>157.59</v>
      </c>
      <c r="K36" t="n" s="20">
        <v>1825.21</v>
      </c>
      <c r="L36" t="n" s="21">
        <v>0.15689999999999998</v>
      </c>
      <c r="M36" t="n" s="19">
        <v>3</v>
      </c>
    </row>
    <row r="37" hidden="0" ht="15" customHeight="1" spans="1:1">
      <c r="A37" t="str" s="17">
        <f>HYPERLINK("https://amazon.com/dp/B08WPD7LDZ", "B08WPD7LDZ")</f>
      </c>
      <c r="B37" t="s">
        <v>51</v>
      </c>
      <c r="C37" t="s">
        <v>15</v>
      </c>
      <c r="D37" t="n" s="18">
        <v>112265.56</v>
      </c>
      <c r="E37" t="n" s="19">
        <v>8</v>
      </c>
      <c r="F37" t="n" s="20">
        <v>14033.19</v>
      </c>
      <c r="G37" t="n" s="19">
        <v>310</v>
      </c>
      <c r="H37" t="n" s="21">
        <v>0.025699999999999997</v>
      </c>
      <c r="I37" t="n" s="18">
        <v>101551.66</v>
      </c>
      <c r="J37" t="n" s="18">
        <v>0</v>
      </c>
      <c r="K37" t="n" s="20">
        <v>12693.96</v>
      </c>
      <c r="L37" t="n" s="21">
        <v>0.2505</v>
      </c>
      <c r="M37" t="n" s="19">
        <v>0</v>
      </c>
    </row>
    <row r="38" hidden="0" ht="15" customHeight="1" spans="1:1">
      <c r="A38" t="str" s="17">
        <f>HYPERLINK("https://amazon.com/dp/B07L44RHC2", "B07L44RHC2")</f>
      </c>
      <c r="B38" t="s">
        <v>52</v>
      </c>
      <c r="C38" t="s">
        <v>15</v>
      </c>
      <c r="D38" t="n" s="18">
        <v>111584.64</v>
      </c>
      <c r="E38" t="n" s="19">
        <v>81</v>
      </c>
      <c r="F38" t="n" s="20">
        <v>1428.19</v>
      </c>
      <c r="G38" t="n" s="19">
        <v>1597</v>
      </c>
      <c r="H38" t="n" s="21">
        <v>0.043</v>
      </c>
      <c r="I38" t="n" s="18">
        <v>128862.78</v>
      </c>
      <c r="J38" t="n" s="18">
        <v>1145.74</v>
      </c>
      <c r="K38" t="n" s="20">
        <v>1590.9</v>
      </c>
      <c r="L38" t="n" s="21">
        <v>0.1592</v>
      </c>
      <c r="M38" t="n" s="19">
        <v>5</v>
      </c>
    </row>
    <row r="39" hidden="0" ht="15" customHeight="1" spans="1:1">
      <c r="A39" t="str" s="17">
        <f>HYPERLINK("https://amazon.com/dp/B0BZMLKXL4", "B0BZMLKXL4")</f>
      </c>
      <c r="B39" t="s">
        <v>53</v>
      </c>
      <c r="C39" t="s">
        <v>22</v>
      </c>
      <c r="D39" t="n" s="18">
        <v>107349.29</v>
      </c>
      <c r="E39" t="n" s="19">
        <v>82</v>
      </c>
      <c r="F39" t="n" s="20">
        <v>1586.98</v>
      </c>
      <c r="G39" t="n" s="19">
        <v>1367</v>
      </c>
      <c r="H39" t="n" s="21">
        <v>0.0248</v>
      </c>
      <c r="I39" t="n" s="18">
        <v>150373.55</v>
      </c>
      <c r="J39" t="n" s="18">
        <v>20.83</v>
      </c>
      <c r="K39" t="n" s="20">
        <v>1833.82</v>
      </c>
      <c r="L39" t="n" s="21">
        <v>0.0441</v>
      </c>
      <c r="M39" t="n" s="19">
        <v>3</v>
      </c>
    </row>
    <row r="40" hidden="0" ht="15" customHeight="1" spans="1:1">
      <c r="A40" t="str" s="17">
        <f>HYPERLINK("https://amazon.com/dp/B0B1M6Z25X", "B0B1M6Z25X")</f>
      </c>
      <c r="B40" t="s">
        <v>54</v>
      </c>
      <c r="C40" t="s">
        <v>15</v>
      </c>
      <c r="D40" t="n" s="18">
        <v>107264.69</v>
      </c>
      <c r="E40" t="n" s="19">
        <v>74</v>
      </c>
      <c r="F40" t="n" s="20">
        <v>1431.59</v>
      </c>
      <c r="G40" t="n" s="19">
        <v>1337</v>
      </c>
      <c r="H40" t="n" s="21">
        <v>0.047599999999999996</v>
      </c>
      <c r="I40" t="n" s="18">
        <v>95132.37</v>
      </c>
      <c r="J40" t="n" s="18">
        <v>238.2</v>
      </c>
      <c r="K40" t="n" s="20">
        <v>1285.57</v>
      </c>
      <c r="L40" t="n" s="21">
        <v>0.2569</v>
      </c>
      <c r="M40" t="n" s="19">
        <v>8</v>
      </c>
    </row>
    <row r="41" hidden="0" ht="15" customHeight="1" spans="1:1">
      <c r="A41" t="str" s="17">
        <f>HYPERLINK("https://amazon.com/dp/B0CQYKYBJ5", "B0CQYKYBJ5")</f>
      </c>
      <c r="B41" t="s">
        <v>55</v>
      </c>
      <c r="C41" t="s">
        <v>15</v>
      </c>
      <c r="D41" t="n" s="18">
        <v>106273.42</v>
      </c>
      <c r="E41" t="n" s="19">
        <v>67</v>
      </c>
      <c r="F41" t="n" s="20">
        <v>1505.73</v>
      </c>
      <c r="G41" t="n" s="19">
        <v>1478</v>
      </c>
      <c r="H41" t="n" s="21">
        <v>0.047599999999999996</v>
      </c>
      <c r="I41" t="n" s="18">
        <v>89492.71</v>
      </c>
      <c r="J41" t="n" s="18">
        <v>395.82</v>
      </c>
      <c r="K41" t="n" s="20">
        <v>1335.71</v>
      </c>
      <c r="L41" t="n" s="21">
        <v>0.2642</v>
      </c>
      <c r="M41" t="n" s="19">
        <v>9</v>
      </c>
    </row>
    <row r="42" hidden="0" ht="15" customHeight="1" spans="1:1">
      <c r="A42" t="str" s="17">
        <f>HYPERLINK("https://amazon.com/dp/B0FXJ739JQ", "B0FXJ739JQ")</f>
      </c>
      <c r="B42" t="s">
        <v>56</v>
      </c>
      <c r="C42" t="s">
        <v>22</v>
      </c>
      <c r="D42" t="n" s="18">
        <v>106115.37</v>
      </c>
      <c r="E42" t="n" s="19">
        <v>27</v>
      </c>
      <c r="F42" t="n" s="20">
        <v>3934.45</v>
      </c>
      <c r="G42" t="n" s="19">
        <v>1200</v>
      </c>
      <c r="H42" t="n" s="21">
        <v>0.022000000000000002</v>
      </c>
      <c r="I42" t="n" s="18">
        <v>104769.24</v>
      </c>
      <c r="J42" t="n" s="18">
        <v>125</v>
      </c>
      <c r="K42" t="n" s="20">
        <v>3880.34</v>
      </c>
      <c r="L42" t="n" s="21">
        <v>0.1852</v>
      </c>
      <c r="M42" t="n" s="19">
        <v>2</v>
      </c>
    </row>
    <row r="43" hidden="0" ht="15" customHeight="1" spans="1:1">
      <c r="A43" t="str" s="17">
        <f>HYPERLINK("https://amazon.com/dp/B0C5Y4LW7V", "B0C5Y4LW7V")</f>
      </c>
      <c r="B43" t="s">
        <v>57</v>
      </c>
      <c r="C43" t="s">
        <v>15</v>
      </c>
      <c r="D43" t="n" s="18">
        <v>103938.91</v>
      </c>
      <c r="E43" t="n" s="19">
        <v>6</v>
      </c>
      <c r="F43" t="n" s="20">
        <v>20841.08</v>
      </c>
      <c r="G43" t="n" s="19">
        <v>547</v>
      </c>
      <c r="H43" t="n" s="21">
        <v>0.0072</v>
      </c>
      <c r="I43" t="n" s="18">
        <v>118465.77</v>
      </c>
      <c r="J43" t="n" s="18">
        <v>0</v>
      </c>
      <c r="K43" t="n" s="20">
        <v>19744.3</v>
      </c>
      <c r="L43" t="n" s="21">
        <v>0.2161</v>
      </c>
      <c r="M43" t="n" s="19">
        <v>0</v>
      </c>
    </row>
    <row r="44" hidden="0" ht="15" customHeight="1" spans="1:1">
      <c r="A44" t="str" s="17">
        <f>HYPERLINK("https://amazon.com/dp/B08XNLZLJ3", "B08XNLZLJ3")</f>
      </c>
      <c r="B44" t="s">
        <v>58</v>
      </c>
      <c r="C44" t="s">
        <v>15</v>
      </c>
      <c r="D44" t="n" s="18">
        <v>102561.95</v>
      </c>
      <c r="E44" t="n" s="19">
        <v>32</v>
      </c>
      <c r="F44" t="n" s="20">
        <v>3147.27</v>
      </c>
      <c r="G44" t="n" s="19">
        <v>585</v>
      </c>
      <c r="H44" t="n" s="21">
        <v>0.0381</v>
      </c>
      <c r="I44" t="n" s="18">
        <v>97263.71</v>
      </c>
      <c r="J44" t="n" s="18">
        <v>1050.78</v>
      </c>
      <c r="K44" t="n" s="20">
        <v>3039.49</v>
      </c>
      <c r="L44" t="n" s="21">
        <v>0.23870000000000002</v>
      </c>
      <c r="M44" t="n" s="19">
        <v>2</v>
      </c>
    </row>
    <row r="45" hidden="0" ht="15" customHeight="1" spans="1:1">
      <c r="A45" t="str" s="17">
        <f>HYPERLINK("https://amazon.com/dp/B0BVKZDF98", "B0BVKZDF98")</f>
      </c>
      <c r="B45" t="s">
        <v>59</v>
      </c>
      <c r="C45" t="s">
        <v>15</v>
      </c>
      <c r="D45" t="n" s="18">
        <v>101890.82</v>
      </c>
      <c r="E45" t="n" s="19">
        <v>31</v>
      </c>
      <c r="F45" t="n" s="20">
        <v>3286.8</v>
      </c>
      <c r="G45" t="n" s="19">
        <v>429</v>
      </c>
      <c r="H45" t="n" s="21">
        <v>0.04190000000000001</v>
      </c>
      <c r="I45" t="n" s="18">
        <v>110650.97</v>
      </c>
      <c r="J45" t="n" s="18">
        <v>0</v>
      </c>
      <c r="K45" t="n" s="20">
        <v>3569.39</v>
      </c>
      <c r="L45" t="n" s="21">
        <v>0.1036</v>
      </c>
      <c r="M45" t="n" s="19">
        <v>2</v>
      </c>
    </row>
    <row r="46" hidden="0" ht="15" customHeight="1" spans="1:1">
      <c r="A46" t="str" s="17">
        <f>HYPERLINK("https://amazon.com/dp/B00A0VCJPI", "B00A0VCJPI")</f>
      </c>
      <c r="B46" t="s">
        <v>60</v>
      </c>
      <c r="C46" t="s">
        <v>15</v>
      </c>
      <c r="D46" t="n" s="18">
        <v>101604.92</v>
      </c>
      <c r="E46" t="n" s="19">
        <v>169</v>
      </c>
      <c r="F46" t="n" s="20">
        <v>607.73</v>
      </c>
      <c r="G46" t="n" s="19">
        <v>2804</v>
      </c>
      <c r="H46" t="n" s="21">
        <v>0.059800000000000006</v>
      </c>
      <c r="I46" t="n" s="18">
        <v>105477.2</v>
      </c>
      <c r="J46" t="n" s="18">
        <v>1693.12</v>
      </c>
      <c r="K46" t="n" s="20">
        <v>624.13</v>
      </c>
      <c r="L46" t="n" s="21">
        <v>0.1362</v>
      </c>
      <c r="M46" t="n" s="19">
        <v>20</v>
      </c>
    </row>
    <row r="47" hidden="0" ht="15" customHeight="1" spans="1:1">
      <c r="A47" t="str" s="17">
        <f>HYPERLINK("https://amazon.com/dp/B0CMCWXPFX", "B0CMCWXPFX")</f>
      </c>
      <c r="B47" t="s">
        <v>61</v>
      </c>
      <c r="C47" t="s">
        <v>22</v>
      </c>
      <c r="D47" t="n" s="18">
        <v>101293.09</v>
      </c>
      <c r="E47" t="n" s="19">
        <v>34</v>
      </c>
      <c r="F47" t="n" s="20">
        <v>3154.26</v>
      </c>
      <c r="G47" t="n" s="19">
        <v>884</v>
      </c>
      <c r="H47" t="n" s="21">
        <v>0.0255</v>
      </c>
      <c r="I47" t="n" s="18">
        <v>118842.41</v>
      </c>
      <c r="J47" t="n" s="18">
        <v>0</v>
      </c>
      <c r="K47" t="n" s="20">
        <v>3495.37</v>
      </c>
      <c r="L47" t="n" s="21">
        <v>0.11710000000000001</v>
      </c>
      <c r="M47" t="n" s="19">
        <v>2</v>
      </c>
    </row>
    <row r="48" hidden="0" ht="15" customHeight="1" spans="1:1">
      <c r="A48" t="str" s="17">
        <f>HYPERLINK("https://amazon.com/dp/B07TW8RZV8", "B07TW8RZV8")</f>
      </c>
      <c r="B48" t="s">
        <v>62</v>
      </c>
      <c r="C48" t="s">
        <v>15</v>
      </c>
      <c r="D48" t="n" s="18">
        <v>98875.01</v>
      </c>
      <c r="E48" t="n" s="19">
        <v>29</v>
      </c>
      <c r="F48" t="n" s="20">
        <v>3804.17</v>
      </c>
      <c r="G48" t="n" s="19">
        <v>396</v>
      </c>
      <c r="H48" t="n" s="21">
        <v>0.0412</v>
      </c>
      <c r="I48" t="n" s="18">
        <v>143885.62</v>
      </c>
      <c r="J48" t="n" s="18">
        <v>83.33</v>
      </c>
      <c r="K48" t="n" s="20">
        <v>4961.57</v>
      </c>
      <c r="L48" t="n" s="21">
        <v>-0.0768</v>
      </c>
      <c r="M48" t="n" s="19">
        <v>2</v>
      </c>
    </row>
    <row r="49" hidden="0" ht="15" customHeight="1" spans="1:1">
      <c r="A49" t="str" s="17">
        <f>HYPERLINK("https://amazon.com/dp/B0DCZY52K3", "B0DCZY52K3")</f>
      </c>
      <c r="B49" t="s">
        <v>63</v>
      </c>
      <c r="C49" t="s">
        <v>15</v>
      </c>
      <c r="D49" t="n" s="18">
        <v>98053.1</v>
      </c>
      <c r="E49" t="n" s="19">
        <v>70</v>
      </c>
      <c r="F49" t="n" s="20">
        <v>1383.69</v>
      </c>
      <c r="G49" t="n" s="19">
        <v>2136</v>
      </c>
      <c r="H49" t="n" s="21">
        <v>0.030299999999999997</v>
      </c>
      <c r="I49" t="n" s="18">
        <v>91274.55</v>
      </c>
      <c r="J49" t="n" s="18">
        <v>145.83</v>
      </c>
      <c r="K49" t="n" s="20">
        <v>1303.92</v>
      </c>
      <c r="L49" t="n" s="21">
        <v>0.2145</v>
      </c>
      <c r="M49" t="n" s="19">
        <v>6</v>
      </c>
    </row>
    <row r="50" hidden="0" ht="15" customHeight="1" spans="1:1">
      <c r="A50" t="str" s="17">
        <f>HYPERLINK("https://amazon.com/dp/B0GVTV9TDS", "B0GVTV9TDS")</f>
      </c>
      <c r="B50" t="s">
        <v>64</v>
      </c>
      <c r="C50" t="s">
        <v>22</v>
      </c>
      <c r="D50" t="n" s="18">
        <v>97507.6</v>
      </c>
      <c r="E50" t="n" s="19">
        <v>44</v>
      </c>
      <c r="F50" t="n" s="20">
        <v>2167.93</v>
      </c>
      <c r="G50" t="n" s="19">
        <v>512</v>
      </c>
      <c r="H50" t="n" s="21">
        <v>0.0708</v>
      </c>
      <c r="I50" t="n" s="18">
        <v>90721.85</v>
      </c>
      <c r="J50" t="n" s="18">
        <v>154.15</v>
      </c>
      <c r="K50" t="n" s="20">
        <v>2061.86</v>
      </c>
      <c r="L50" t="n" s="21">
        <v>0.2137</v>
      </c>
      <c r="M50" t="n" s="19">
        <v>2</v>
      </c>
    </row>
    <row r="51" hidden="0" ht="15" customHeight="1" spans="1:1">
      <c r="A51" t="str" s="17">
        <f>HYPERLINK("https://amazon.com/dp/B0C3CYL7LR", "B0C3CYL7LR")</f>
      </c>
      <c r="B51" t="s">
        <v>65</v>
      </c>
      <c r="C51" t="s">
        <v>15</v>
      </c>
      <c r="D51" t="n" s="18">
        <v>90762.67</v>
      </c>
      <c r="E51" t="n" s="19">
        <v>12</v>
      </c>
      <c r="F51" t="n" s="20">
        <v>7569.81</v>
      </c>
      <c r="G51" t="n" s="19">
        <v>261</v>
      </c>
      <c r="H51" t="n" s="21">
        <v>0.024399999999999998</v>
      </c>
      <c r="I51" t="n" s="18">
        <v>96694.28</v>
      </c>
      <c r="J51" t="n" s="18">
        <v>125</v>
      </c>
      <c r="K51" t="n" s="20">
        <v>8057.86</v>
      </c>
      <c r="L51" t="n" s="21">
        <v>0.2046</v>
      </c>
      <c r="M51" t="n" s="19">
        <v>0</v>
      </c>
    </row>
    <row r="52" hidden="0" ht="15" customHeight="1" spans="1:1">
      <c r="A52" t="str" s="17">
        <f>HYPERLINK("https://amazon.com/dp/B0FZJWWB72", "B0FZJWWB72")</f>
      </c>
      <c r="B52" t="s">
        <v>66</v>
      </c>
      <c r="C52" t="s">
        <v>22</v>
      </c>
      <c r="D52" t="n" s="18">
        <v>88794.97</v>
      </c>
      <c r="E52" t="n" s="19">
        <v>21</v>
      </c>
      <c r="F52" t="n" s="20">
        <v>4026.57</v>
      </c>
      <c r="G52" t="n" s="19">
        <v>1892</v>
      </c>
      <c r="H52" t="n" s="21">
        <v>0.008199999999999999</v>
      </c>
      <c r="I52" t="n" s="18">
        <v>79122.96</v>
      </c>
      <c r="J52" t="n" s="18">
        <v>0</v>
      </c>
      <c r="K52" t="n" s="20">
        <v>3767.76</v>
      </c>
      <c r="L52" t="n" s="21">
        <v>0.228</v>
      </c>
      <c r="M52" t="n" s="19">
        <v>2</v>
      </c>
    </row>
    <row r="53" hidden="0" ht="15" customHeight="1" spans="1:1">
      <c r="A53" t="str" s="17">
        <f>HYPERLINK("https://amazon.com/dp/B0DNSMY4NL", "B0DNSMY4NL")</f>
      </c>
      <c r="B53" t="s">
        <v>67</v>
      </c>
      <c r="C53" t="s">
        <v>15</v>
      </c>
      <c r="D53" t="n" s="18">
        <v>86533.32</v>
      </c>
      <c r="E53" t="n" s="19">
        <v>143</v>
      </c>
      <c r="F53" t="n" s="20">
        <v>584.29</v>
      </c>
      <c r="G53" t="n" s="19">
        <v>1451</v>
      </c>
      <c r="H53" t="n" s="21">
        <v>0.10279999999999999</v>
      </c>
      <c r="I53" t="n" s="18">
        <v>78081.93</v>
      </c>
      <c r="J53" t="n" s="18">
        <v>901.75</v>
      </c>
      <c r="K53" t="n" s="20">
        <v>546.03</v>
      </c>
      <c r="L53" t="n" s="21">
        <v>0.2163</v>
      </c>
      <c r="M53" t="n" s="19">
        <v>2</v>
      </c>
    </row>
    <row r="54" hidden="0" ht="15" customHeight="1" spans="1:1">
      <c r="A54" t="str" s="17">
        <f>HYPERLINK("https://amazon.com/dp/B0D5BBZGFR", "B0D5BBZGFR")</f>
      </c>
      <c r="B54" t="s">
        <v>68</v>
      </c>
      <c r="C54" t="s">
        <v>22</v>
      </c>
      <c r="D54" t="n" s="18">
        <v>85733.32</v>
      </c>
      <c r="E54" t="n" s="19">
        <v>38</v>
      </c>
      <c r="F54" t="n" s="20">
        <v>2260.17</v>
      </c>
      <c r="G54" t="n" s="19">
        <v>1407</v>
      </c>
      <c r="H54" t="n" s="21">
        <v>0.025699999999999997</v>
      </c>
      <c r="I54" t="n" s="18">
        <v>78203.49</v>
      </c>
      <c r="J54" t="n" s="18">
        <v>154.1</v>
      </c>
      <c r="K54" t="n" s="20">
        <v>2057.99</v>
      </c>
      <c r="L54" t="n" s="21">
        <v>0.247</v>
      </c>
      <c r="M54" t="n" s="19">
        <v>0</v>
      </c>
    </row>
    <row r="55" hidden="0" ht="15" customHeight="1" spans="1:1">
      <c r="A55" t="str" s="17">
        <f>HYPERLINK("https://amazon.com/dp/B09X3FTL7F", "B09X3FTL7F")</f>
      </c>
      <c r="B55" t="s">
        <v>69</v>
      </c>
      <c r="C55" t="s">
        <v>15</v>
      </c>
      <c r="D55" t="n" s="18">
        <v>85684.08</v>
      </c>
      <c r="E55" t="n" s="19">
        <v>69</v>
      </c>
      <c r="F55" t="n" s="20">
        <v>1243.1</v>
      </c>
      <c r="G55" t="n" s="19">
        <v>1361</v>
      </c>
      <c r="H55" t="n" s="21">
        <v>0.051100000000000007</v>
      </c>
      <c r="I55" t="n" s="18">
        <v>74497.92</v>
      </c>
      <c r="J55" t="n" s="18">
        <v>1191.92</v>
      </c>
      <c r="K55" t="n" s="20">
        <v>1079.68</v>
      </c>
      <c r="L55" t="n" s="21">
        <v>0.2696</v>
      </c>
      <c r="M55" t="n" s="19">
        <v>3</v>
      </c>
    </row>
    <row r="56" hidden="0" ht="15" customHeight="1" spans="1:1">
      <c r="A56" t="str" s="17">
        <f>HYPERLINK("https://amazon.com/dp/B0722XW4PD", "B0722XW4PD")</f>
      </c>
      <c r="B56" t="s">
        <v>70</v>
      </c>
      <c r="C56" t="s">
        <v>15</v>
      </c>
      <c r="D56" t="n" s="18">
        <v>84215.88</v>
      </c>
      <c r="E56" t="n" s="19">
        <v>21</v>
      </c>
      <c r="F56" t="n" s="20">
        <v>4010.28</v>
      </c>
      <c r="G56" t="n" s="19">
        <v>194</v>
      </c>
      <c r="H56" t="n" s="21">
        <v>0.1045</v>
      </c>
      <c r="I56" t="n" s="18">
        <v>88368.66</v>
      </c>
      <c r="J56" t="n" s="18">
        <v>0</v>
      </c>
      <c r="K56" t="n" s="20">
        <v>4208.03</v>
      </c>
      <c r="L56" t="n" s="21">
        <v>0.1343</v>
      </c>
      <c r="M56" t="n" s="19">
        <v>0</v>
      </c>
    </row>
    <row r="57" hidden="0" ht="15" customHeight="1" spans="1:1">
      <c r="A57" t="str" s="17">
        <f>HYPERLINK("https://amazon.com/dp/B098K3H92Z", "B098K3H92Z")</f>
      </c>
      <c r="B57" t="s">
        <v>71</v>
      </c>
      <c r="C57" t="s">
        <v>15</v>
      </c>
      <c r="D57" t="n" s="18">
        <v>83253.38</v>
      </c>
      <c r="E57" t="n" s="19">
        <v>252</v>
      </c>
      <c r="F57" t="n" s="20">
        <v>342.72</v>
      </c>
      <c r="G57" t="n" s="19">
        <v>2264</v>
      </c>
      <c r="H57" t="n" s="21">
        <v>0.0487</v>
      </c>
      <c r="I57" t="n" s="18">
        <v>59591.88</v>
      </c>
      <c r="J57" t="n" s="18">
        <v>4859.69</v>
      </c>
      <c r="K57" t="n" s="20">
        <v>236.48</v>
      </c>
      <c r="L57" t="n" s="21">
        <v>0.37450000000000006</v>
      </c>
      <c r="M57" t="n" s="19">
        <v>11</v>
      </c>
    </row>
    <row r="58" hidden="0" ht="15" customHeight="1" spans="1:1">
      <c r="A58" t="str" s="17">
        <f>HYPERLINK("https://amazon.com/dp/B08P94H63W", "B08P94H63W")</f>
      </c>
      <c r="B58" t="s">
        <v>72</v>
      </c>
      <c r="C58" t="s">
        <v>15</v>
      </c>
      <c r="D58" t="n" s="18">
        <v>81544.18</v>
      </c>
      <c r="E58" t="n" s="19">
        <v>15</v>
      </c>
      <c r="F58" t="n" s="20">
        <v>4804.47</v>
      </c>
      <c r="G58" t="n" s="19">
        <v>573</v>
      </c>
      <c r="H58" t="n" s="21">
        <v>0.0292</v>
      </c>
      <c r="I58" t="n" s="18">
        <v>68984.69</v>
      </c>
      <c r="J58" t="n" s="18">
        <v>0</v>
      </c>
      <c r="K58" t="n" s="20">
        <v>4598.98</v>
      </c>
      <c r="L58" t="n" s="21">
        <v>0.21030000000000001</v>
      </c>
      <c r="M58" t="n" s="19">
        <v>2</v>
      </c>
    </row>
    <row r="59" hidden="0" ht="15" customHeight="1" spans="1:1">
      <c r="A59" t="str" s="17">
        <f>HYPERLINK("https://amazon.com/dp/B00PIBBWSK", "B00PIBBWSK")</f>
      </c>
      <c r="B59" t="s">
        <v>73</v>
      </c>
      <c r="C59" t="s">
        <v>15</v>
      </c>
      <c r="D59" t="n" s="18">
        <v>77886.39</v>
      </c>
      <c r="E59" t="n" s="19">
        <v>28</v>
      </c>
      <c r="F59" t="n" s="20">
        <v>2683.81</v>
      </c>
      <c r="G59" t="n" s="19">
        <v>1144</v>
      </c>
      <c r="H59" t="n" s="21">
        <v>0.0194</v>
      </c>
      <c r="I59" t="n" s="18">
        <v>72082.77</v>
      </c>
      <c r="J59" t="n" s="18">
        <v>0</v>
      </c>
      <c r="K59" t="n" s="20">
        <v>2574.38</v>
      </c>
      <c r="L59" t="n" s="21">
        <v>0.19760000000000003</v>
      </c>
      <c r="M59" t="n" s="19">
        <v>2</v>
      </c>
    </row>
    <row r="60" hidden="0" ht="15" customHeight="1" spans="1:1">
      <c r="A60" t="str" s="17">
        <f>HYPERLINK("https://amazon.com/dp/B0741FFT6F", "B0741FFT6F")</f>
      </c>
      <c r="B60" t="s">
        <v>74</v>
      </c>
      <c r="C60" t="s">
        <v>15</v>
      </c>
      <c r="D60" t="n" s="18">
        <v>77324.04</v>
      </c>
      <c r="E60" t="n" s="19">
        <v>35</v>
      </c>
      <c r="F60" t="n" s="20">
        <v>2218.78</v>
      </c>
      <c r="G60" t="n" s="19">
        <v>393</v>
      </c>
      <c r="H60" t="n" s="21">
        <v>0.07139999999999999</v>
      </c>
      <c r="I60" t="n" s="18">
        <v>71520.62</v>
      </c>
      <c r="J60" t="n" s="18">
        <v>333.33</v>
      </c>
      <c r="K60" t="n" s="20">
        <v>2043.45</v>
      </c>
      <c r="L60" t="n" s="21">
        <v>0.33909999999999996</v>
      </c>
      <c r="M60" t="n" s="19">
        <v>2</v>
      </c>
    </row>
    <row r="61" hidden="0" ht="15" customHeight="1" spans="1:1">
      <c r="A61" t="str" s="17">
        <f>HYPERLINK("https://amazon.com/dp/B01MD1SKLL", "B01MD1SKLL")</f>
      </c>
      <c r="B61" t="s">
        <v>75</v>
      </c>
      <c r="C61" t="s">
        <v>15</v>
      </c>
      <c r="D61" t="n" s="18">
        <v>75716.33</v>
      </c>
      <c r="E61" t="n" s="19">
        <v>69</v>
      </c>
      <c r="F61" t="n" s="20">
        <v>1087.89</v>
      </c>
      <c r="G61" t="n" s="19">
        <v>1289</v>
      </c>
      <c r="H61" t="n" s="21">
        <v>0.04</v>
      </c>
      <c r="I61" t="n" s="18">
        <v>78581.27</v>
      </c>
      <c r="J61" t="n" s="18">
        <v>785.27</v>
      </c>
      <c r="K61" t="n" s="20">
        <v>1138.86</v>
      </c>
      <c r="L61" t="n" s="21">
        <v>0.1259</v>
      </c>
      <c r="M61" t="n" s="19">
        <v>7</v>
      </c>
    </row>
    <row r="62" hidden="0" ht="15" customHeight="1" spans="1:1">
      <c r="A62" t="str" s="17">
        <f>HYPERLINK("https://amazon.com/dp/B0GVNXN5SJ", "B0GVNXN5SJ")</f>
      </c>
      <c r="B62" t="s">
        <v>76</v>
      </c>
      <c r="C62" t="s">
        <v>15</v>
      </c>
      <c r="D62" t="n" s="18">
        <v>75592.58</v>
      </c>
      <c r="E62" t="n" s="19">
        <v>11</v>
      </c>
      <c r="F62" t="n" s="20">
        <v>6872.05</v>
      </c>
      <c r="G62" t="n" s="19">
        <v>683</v>
      </c>
      <c r="H62" t="n" s="21">
        <v>0.0137</v>
      </c>
      <c r="I62" t="n" s="18">
        <v>73060.15</v>
      </c>
      <c r="J62" t="n" s="18">
        <v>0</v>
      </c>
      <c r="K62" t="n" s="20">
        <v>6641.83</v>
      </c>
      <c r="L62" t="n" s="21">
        <v>0.2026</v>
      </c>
      <c r="M62" t="n" s="19">
        <v>3</v>
      </c>
    </row>
    <row r="63" hidden="0" ht="15" customHeight="1" spans="1:1">
      <c r="A63" t="str" s="17">
        <f>HYPERLINK("https://amazon.com/dp/B08R6H6931", "B08R6H6931")</f>
      </c>
      <c r="B63" t="s">
        <v>77</v>
      </c>
      <c r="C63" t="s">
        <v>15</v>
      </c>
      <c r="D63" t="n" s="18">
        <v>74882.45</v>
      </c>
      <c r="E63" t="n" s="19">
        <v>31</v>
      </c>
      <c r="F63" t="n" s="20">
        <v>2599.78</v>
      </c>
      <c r="G63" t="n" s="19">
        <v>890</v>
      </c>
      <c r="H63" t="n" s="21">
        <v>0.022000000000000002</v>
      </c>
      <c r="I63" t="n" s="18">
        <v>65058.39</v>
      </c>
      <c r="J63" t="n" s="18">
        <v>395.84</v>
      </c>
      <c r="K63" t="n" s="20">
        <v>2098.66</v>
      </c>
      <c r="L63" t="n" s="21">
        <v>0.317</v>
      </c>
      <c r="M63" t="n" s="19">
        <v>7</v>
      </c>
    </row>
    <row r="64" hidden="0" ht="15" customHeight="1" spans="1:1">
      <c r="A64" t="str" s="17">
        <f>HYPERLINK("https://amazon.com/dp/B0C4SSQGV3", "B0C4SSQGV3")</f>
      </c>
      <c r="B64" t="s">
        <v>78</v>
      </c>
      <c r="C64" t="s">
        <v>15</v>
      </c>
      <c r="D64" t="n" s="18">
        <v>73665.65</v>
      </c>
      <c r="E64" t="n" s="19">
        <v>20</v>
      </c>
      <c r="F64" t="n" s="20">
        <v>3690.83</v>
      </c>
      <c r="G64" t="n" s="19">
        <v>218</v>
      </c>
      <c r="H64" t="n" s="21">
        <v>0.0866</v>
      </c>
      <c r="I64" t="n" s="18">
        <v>79707.65</v>
      </c>
      <c r="J64" t="n" s="18">
        <v>150.95</v>
      </c>
      <c r="K64" t="n" s="20">
        <v>3985.38</v>
      </c>
      <c r="L64" t="n" s="21">
        <v>0.10710000000000001</v>
      </c>
      <c r="M64" t="n" s="19">
        <v>0</v>
      </c>
    </row>
    <row r="65" hidden="0" ht="15" customHeight="1" spans="1:1">
      <c r="A65" t="str" s="17">
        <f>HYPERLINK("https://amazon.com/dp/B08FYB5HHK", "B08FYB5HHK")</f>
      </c>
      <c r="B65" t="s">
        <v>79</v>
      </c>
      <c r="C65" t="s">
        <v>15</v>
      </c>
      <c r="D65" t="n" s="18">
        <v>72189.63</v>
      </c>
      <c r="E65" t="n" s="19">
        <v>119</v>
      </c>
      <c r="F65" t="n" s="20">
        <v>614.16</v>
      </c>
      <c r="G65" t="n" s="19">
        <v>1276</v>
      </c>
      <c r="H65" t="n" s="21">
        <v>0.0922</v>
      </c>
      <c r="I65" t="n" s="18">
        <v>62469.94</v>
      </c>
      <c r="J65" t="n" s="18">
        <v>932.42</v>
      </c>
      <c r="K65" t="n" s="20">
        <v>524.96</v>
      </c>
      <c r="L65" t="n" s="21">
        <v>0.28190000000000004</v>
      </c>
      <c r="M65" t="n" s="19">
        <v>9</v>
      </c>
    </row>
    <row r="66" hidden="0" ht="15" customHeight="1" spans="1:1">
      <c r="A66" t="str" s="17">
        <f>HYPERLINK("https://amazon.com/dp/B00EYW1U68", "B00EYW1U68")</f>
      </c>
      <c r="B66" t="s">
        <v>80</v>
      </c>
      <c r="C66" t="s">
        <v>15</v>
      </c>
      <c r="D66" t="n" s="18">
        <v>71310.92</v>
      </c>
      <c r="E66" t="n" s="19">
        <v>113</v>
      </c>
      <c r="F66" t="n" s="20">
        <v>632.54</v>
      </c>
      <c r="G66" t="n" s="19">
        <v>1812</v>
      </c>
      <c r="H66" t="n" s="21">
        <v>0.061200000000000004</v>
      </c>
      <c r="I66" t="n" s="18">
        <v>79075.29</v>
      </c>
      <c r="J66" t="n" s="18">
        <v>818.78</v>
      </c>
      <c r="K66" t="n" s="20">
        <v>699.78</v>
      </c>
      <c r="L66" t="n" s="21">
        <v>0.0757</v>
      </c>
      <c r="M66" t="n" s="19">
        <v>5</v>
      </c>
    </row>
    <row r="67" hidden="0" ht="15" customHeight="1" spans="1:1">
      <c r="A67" t="str" s="17">
        <f>HYPERLINK("https://amazon.com/dp/B0BWRXZZC8", "B0BWRXZZC8")</f>
      </c>
      <c r="B67" t="s">
        <v>81</v>
      </c>
      <c r="C67" t="s">
        <v>15</v>
      </c>
      <c r="D67" t="n" s="18">
        <v>70742.6</v>
      </c>
      <c r="E67" t="n" s="19">
        <v>65</v>
      </c>
      <c r="F67" t="n" s="20">
        <v>1127.55</v>
      </c>
      <c r="G67" t="n" s="19">
        <v>1228</v>
      </c>
      <c r="H67" t="n" s="21">
        <v>0.051</v>
      </c>
      <c r="I67" t="n" s="18">
        <v>71016.17</v>
      </c>
      <c r="J67" t="n" s="18">
        <v>455.14</v>
      </c>
      <c r="K67" t="n" s="20">
        <v>1092.56</v>
      </c>
      <c r="L67" t="n" s="21">
        <v>0.17989999999999998</v>
      </c>
      <c r="M67" t="n" s="19">
        <v>3</v>
      </c>
    </row>
    <row r="68" hidden="0" ht="15" customHeight="1" spans="1:1">
      <c r="A68" t="str" s="17">
        <f>HYPERLINK("https://amazon.com/dp/B0FLQ4LTMF", "B0FLQ4LTMF")</f>
      </c>
      <c r="B68" t="s">
        <v>82</v>
      </c>
      <c r="C68" t="s">
        <v>22</v>
      </c>
      <c r="D68" t="n" s="18">
        <v>70599.04</v>
      </c>
      <c r="E68" t="n" s="19">
        <v>29</v>
      </c>
      <c r="F68" t="n" s="20">
        <v>2267.56</v>
      </c>
      <c r="G68" t="n" s="19">
        <v>670</v>
      </c>
      <c r="H68" t="n" s="21">
        <v>0.0095</v>
      </c>
      <c r="I68" t="n" s="18">
        <v>70794.06</v>
      </c>
      <c r="J68" t="n" s="18">
        <v>0</v>
      </c>
      <c r="K68" t="n" s="20">
        <v>2441.17</v>
      </c>
      <c r="L68" t="n" s="21">
        <v>0.1411</v>
      </c>
      <c r="M68" t="n" s="19">
        <v>2</v>
      </c>
    </row>
    <row r="69" hidden="0" ht="15" customHeight="1" spans="1:1">
      <c r="A69" t="str" s="17">
        <f>HYPERLINK("https://amazon.com/dp/B00V4BGD00", "B00V4BGD00")</f>
      </c>
      <c r="B69" t="s">
        <v>83</v>
      </c>
      <c r="C69" t="s">
        <v>15</v>
      </c>
      <c r="D69" t="n" s="18">
        <v>69482.55</v>
      </c>
      <c r="E69" t="n" s="19">
        <v>172</v>
      </c>
      <c r="F69" t="n" s="20">
        <v>418.92</v>
      </c>
      <c r="G69" t="n" s="19">
        <v>4174</v>
      </c>
      <c r="H69" t="n" s="21">
        <v>0.0407</v>
      </c>
      <c r="I69" t="n" s="18">
        <v>67007.41</v>
      </c>
      <c r="J69" t="n" s="18">
        <v>2306.82</v>
      </c>
      <c r="K69" t="n" s="20">
        <v>389.58</v>
      </c>
      <c r="L69" t="n" s="21">
        <v>0.19699999999999998</v>
      </c>
      <c r="M69" t="n" s="19">
        <v>4</v>
      </c>
    </row>
    <row r="70" hidden="0" ht="15" customHeight="1" spans="1:1">
      <c r="A70" t="str" s="17">
        <f>HYPERLINK("https://amazon.com/dp/B0CJJ712ZX", "B0CJJ712ZX")</f>
      </c>
      <c r="B70" t="s">
        <v>84</v>
      </c>
      <c r="C70" t="s">
        <v>15</v>
      </c>
      <c r="D70" t="n" s="18">
        <v>67816.45</v>
      </c>
      <c r="E70" t="n" s="19">
        <v>8</v>
      </c>
      <c r="F70" t="n" s="20">
        <v>6781.9</v>
      </c>
      <c r="G70" t="n" s="19">
        <v>196</v>
      </c>
      <c r="H70" t="n" s="21">
        <v>0.0113</v>
      </c>
      <c r="I70" t="n" s="18">
        <v>65207.04</v>
      </c>
      <c r="J70" t="n" s="18">
        <v>83.33</v>
      </c>
      <c r="K70" t="n" s="20">
        <v>8150.88</v>
      </c>
      <c r="L70" t="n" s="21">
        <v>0.1816</v>
      </c>
      <c r="M70" t="n" s="19">
        <v>2</v>
      </c>
    </row>
    <row r="71" hidden="0" ht="15" customHeight="1" spans="1:1">
      <c r="A71" t="str" s="17">
        <f>HYPERLINK("https://amazon.com/dp/B0D6W44CSR", "B0D6W44CSR")</f>
      </c>
      <c r="B71" t="s">
        <v>85</v>
      </c>
      <c r="C71" t="s">
        <v>22</v>
      </c>
      <c r="D71" t="n" s="18">
        <v>67765.11</v>
      </c>
      <c r="E71" t="n" s="19">
        <v>17</v>
      </c>
      <c r="F71" t="n" s="20">
        <v>4008.98</v>
      </c>
      <c r="G71" t="n" s="19">
        <v>699</v>
      </c>
      <c r="H71" t="n" s="21">
        <v>0.023700000000000002</v>
      </c>
      <c r="I71" t="n" s="18">
        <v>66986.61</v>
      </c>
      <c r="J71" t="n" s="18">
        <v>387.57</v>
      </c>
      <c r="K71" t="n" s="20">
        <v>3940.39</v>
      </c>
      <c r="L71" t="n" s="21">
        <v>0.1834</v>
      </c>
      <c r="M71" t="n" s="19">
        <v>1</v>
      </c>
    </row>
    <row r="72" hidden="0" ht="15" customHeight="1" spans="1:1">
      <c r="A72" t="str" s="17">
        <f>HYPERLINK("https://amazon.com/dp/B0859M539M", "B0859M539M")</f>
      </c>
      <c r="B72" t="s">
        <v>86</v>
      </c>
      <c r="C72" t="s">
        <v>15</v>
      </c>
      <c r="D72" t="n" s="18">
        <v>66453.72</v>
      </c>
      <c r="E72" t="n" s="19">
        <v>95</v>
      </c>
      <c r="F72" t="n" s="20">
        <v>729.1</v>
      </c>
      <c r="G72" t="n" s="19">
        <v>1599</v>
      </c>
      <c r="H72" t="n" s="21">
        <v>0.0472</v>
      </c>
      <c r="I72" t="n" s="18">
        <v>68865.13</v>
      </c>
      <c r="J72" t="n" s="18">
        <v>677.98</v>
      </c>
      <c r="K72" t="n" s="20">
        <v>724.9</v>
      </c>
      <c r="L72" t="n" s="21">
        <v>0.1609</v>
      </c>
      <c r="M72" t="n" s="19">
        <v>10</v>
      </c>
    </row>
    <row r="73" hidden="0" ht="15" customHeight="1" spans="1:1">
      <c r="A73" t="str" s="17">
        <f>HYPERLINK("https://amazon.com/dp/B00JKB63D8", "B00JKB63D8")</f>
      </c>
      <c r="B73" t="s">
        <v>87</v>
      </c>
      <c r="C73" t="s">
        <v>15</v>
      </c>
      <c r="D73" t="n" s="18">
        <v>66322.04</v>
      </c>
      <c r="E73" t="n" s="19">
        <v>66</v>
      </c>
      <c r="F73" t="n" s="20">
        <v>1030.24</v>
      </c>
      <c r="G73" t="n" s="19">
        <v>647</v>
      </c>
      <c r="H73" t="n" s="21">
        <v>0.09789999999999999</v>
      </c>
      <c r="I73" t="n" s="18">
        <v>71803.88</v>
      </c>
      <c r="J73" t="n" s="18">
        <v>630.65</v>
      </c>
      <c r="K73" t="n" s="20">
        <v>1087.94</v>
      </c>
      <c r="L73" t="n" s="21">
        <v>0.1195</v>
      </c>
      <c r="M73" t="n" s="19">
        <v>1</v>
      </c>
    </row>
    <row r="74" hidden="0" ht="15" customHeight="1" spans="1:1">
      <c r="A74" t="str" s="17">
        <f>HYPERLINK("https://amazon.com/dp/B08WQ16H4N", "B08WQ16H4N")</f>
      </c>
      <c r="B74" t="s">
        <v>88</v>
      </c>
      <c r="C74" t="s">
        <v>15</v>
      </c>
      <c r="D74" t="n" s="18">
        <v>65936.62</v>
      </c>
      <c r="E74" t="n" s="19">
        <v>21</v>
      </c>
      <c r="F74" t="n" s="20">
        <v>3140.25</v>
      </c>
      <c r="G74" t="n" s="19">
        <v>393</v>
      </c>
      <c r="H74" t="n" s="21">
        <v>0.053</v>
      </c>
      <c r="I74" t="n" s="18">
        <v>60875.22</v>
      </c>
      <c r="J74" t="n" s="18">
        <v>66.82</v>
      </c>
      <c r="K74" t="n" s="20">
        <v>2898.82</v>
      </c>
      <c r="L74" t="n" s="21">
        <v>0.23739999999999997</v>
      </c>
      <c r="M74" t="n" s="19">
        <v>1</v>
      </c>
    </row>
    <row r="75" hidden="0" ht="15" customHeight="1" spans="1:1">
      <c r="A75" t="str" s="17">
        <f>HYPERLINK("https://amazon.com/dp/B0DSVS49TZ", "B0DSVS49TZ")</f>
      </c>
      <c r="B75" t="s">
        <v>89</v>
      </c>
      <c r="C75" t="s">
        <v>15</v>
      </c>
      <c r="D75" t="n" s="18">
        <v>65607.48</v>
      </c>
      <c r="E75" t="n" s="19">
        <v>67</v>
      </c>
      <c r="F75" t="n" s="20">
        <v>977.13</v>
      </c>
      <c r="G75" t="n" s="19">
        <v>1573</v>
      </c>
      <c r="H75" t="n" s="21">
        <v>0.0414</v>
      </c>
      <c r="I75" t="n" s="18">
        <v>66563.42</v>
      </c>
      <c r="J75" t="n" s="18">
        <v>759.3</v>
      </c>
      <c r="K75" t="n" s="20">
        <v>993.48</v>
      </c>
      <c r="L75" t="n" s="21">
        <v>0.1496</v>
      </c>
      <c r="M75" t="n" s="19">
        <v>2</v>
      </c>
    </row>
    <row r="76" hidden="0" ht="15" customHeight="1" spans="1:1">
      <c r="A76" t="str" s="17">
        <f>HYPERLINK("https://amazon.com/dp/B00V4BGDKU", "B00V4BGDKU")</f>
      </c>
      <c r="B76" t="s">
        <v>90</v>
      </c>
      <c r="C76" t="s">
        <v>15</v>
      </c>
      <c r="D76" t="n" s="18">
        <v>64355.64</v>
      </c>
      <c r="E76" t="n" s="19">
        <v>135</v>
      </c>
      <c r="F76" t="n" s="20">
        <v>480.27</v>
      </c>
      <c r="G76" t="n" s="19">
        <v>1436</v>
      </c>
      <c r="H76" t="n" s="21">
        <v>0.09369999999999999</v>
      </c>
      <c r="I76" t="n" s="18">
        <v>59837.78</v>
      </c>
      <c r="J76" t="n" s="18">
        <v>2114.1</v>
      </c>
      <c r="K76" t="n" s="20">
        <v>443.24</v>
      </c>
      <c r="L76" t="n" s="21">
        <v>0.1962</v>
      </c>
      <c r="M76" t="n" s="19">
        <v>10</v>
      </c>
    </row>
    <row r="77" hidden="0" ht="15" customHeight="1" spans="1:1">
      <c r="A77" t="str" s="17">
        <f>HYPERLINK("https://amazon.com/dp/B00A128S24", "B00A128S24")</f>
      </c>
      <c r="B77" t="s">
        <v>91</v>
      </c>
      <c r="C77" t="s">
        <v>15</v>
      </c>
      <c r="D77" t="n" s="18">
        <v>64104.34</v>
      </c>
      <c r="E77" t="n" s="19">
        <v>105</v>
      </c>
      <c r="F77" t="n" s="20">
        <v>638.84</v>
      </c>
      <c r="G77" t="n" s="19">
        <v>869</v>
      </c>
      <c r="H77" t="n" s="21">
        <v>0.10339999999999999</v>
      </c>
      <c r="I77" t="n" s="18">
        <v>60753.36</v>
      </c>
      <c r="J77" t="n" s="18">
        <v>402.63</v>
      </c>
      <c r="K77" t="n" s="20">
        <v>578.6</v>
      </c>
      <c r="L77" t="n" s="21">
        <v>0.2468</v>
      </c>
      <c r="M77" t="n" s="19">
        <v>2</v>
      </c>
    </row>
    <row r="78" hidden="0" ht="15" customHeight="1" spans="1:1">
      <c r="A78" t="str" s="17">
        <f>HYPERLINK("https://amazon.com/dp/B00KXULGJQ", "B00KXULGJQ")</f>
      </c>
      <c r="B78" t="s">
        <v>92</v>
      </c>
      <c r="C78" t="s">
        <v>15</v>
      </c>
      <c r="D78" t="n" s="18">
        <v>63288.87</v>
      </c>
      <c r="E78" t="n" s="19">
        <v>72</v>
      </c>
      <c r="F78" t="n" s="20">
        <v>888.66</v>
      </c>
      <c r="G78" t="n" s="19">
        <v>1449</v>
      </c>
      <c r="H78" t="n" s="21">
        <v>0.0406</v>
      </c>
      <c r="I78" t="n" s="18">
        <v>67046.4</v>
      </c>
      <c r="J78" t="n" s="18">
        <v>704.57</v>
      </c>
      <c r="K78" t="n" s="20">
        <v>931.2</v>
      </c>
      <c r="L78" t="n" s="21">
        <v>0.1245</v>
      </c>
      <c r="M78" t="n" s="19">
        <v>2</v>
      </c>
    </row>
    <row r="79" hidden="0" ht="15" customHeight="1" spans="1:1">
      <c r="A79" t="str" s="17">
        <f>HYPERLINK("https://amazon.com/dp/B0DHY8HXYG", "B0DHY8HXYG")</f>
      </c>
      <c r="B79" t="s">
        <v>93</v>
      </c>
      <c r="C79" t="s">
        <v>15</v>
      </c>
      <c r="D79" t="n" s="18">
        <v>62353.52</v>
      </c>
      <c r="E79" t="n" s="19">
        <v>20</v>
      </c>
      <c r="F79" t="n" s="20">
        <v>3289.45</v>
      </c>
      <c r="G79" t="n" s="19">
        <v>403</v>
      </c>
      <c r="H79" t="n" s="21">
        <v>0.0455</v>
      </c>
      <c r="I79" t="n" s="18">
        <v>65186.35</v>
      </c>
      <c r="J79" t="n" s="18">
        <v>154.99</v>
      </c>
      <c r="K79" t="n" s="20">
        <v>3259.32</v>
      </c>
      <c r="L79" t="n" s="21">
        <v>0.1802</v>
      </c>
      <c r="M79" t="n" s="19">
        <v>1</v>
      </c>
    </row>
    <row r="80" hidden="0" ht="15" customHeight="1" spans="1:1">
      <c r="A80" t="str" s="17">
        <f>HYPERLINK("https://amazon.com/dp/B09FDRMZ73", "B09FDRMZ73")</f>
      </c>
      <c r="B80" t="s">
        <v>94</v>
      </c>
      <c r="C80" t="s">
        <v>15</v>
      </c>
      <c r="D80" t="n" s="18">
        <v>61798.74</v>
      </c>
      <c r="E80" t="n" s="19">
        <v>135</v>
      </c>
      <c r="F80" t="n" s="20">
        <v>457.65</v>
      </c>
      <c r="G80" t="n" s="19">
        <v>1810</v>
      </c>
      <c r="H80" t="n" s="21">
        <v>0.0701</v>
      </c>
      <c r="I80" t="n" s="18">
        <v>58495.06</v>
      </c>
      <c r="J80" t="n" s="18">
        <v>1888.69</v>
      </c>
      <c r="K80" t="n" s="20">
        <v>433.3</v>
      </c>
      <c r="L80" t="n" s="21">
        <v>0.1883</v>
      </c>
      <c r="M80" t="n" s="19">
        <v>10</v>
      </c>
    </row>
    <row r="81" hidden="0" ht="15" customHeight="1" spans="1:1">
      <c r="A81" t="str" s="17">
        <f>HYPERLINK("https://amazon.com/dp/B07VC68RW1", "B07VC68RW1")</f>
      </c>
      <c r="B81" t="s">
        <v>95</v>
      </c>
      <c r="C81" t="s">
        <v>15</v>
      </c>
      <c r="D81" t="n" s="18">
        <v>61194.22</v>
      </c>
      <c r="E81" t="n" s="19">
        <v>129</v>
      </c>
      <c r="F81" t="n" s="20">
        <v>478.57</v>
      </c>
      <c r="G81" t="n" s="19">
        <v>1401</v>
      </c>
      <c r="H81" t="n" s="21">
        <v>0.0872</v>
      </c>
      <c r="I81" t="n" s="18">
        <v>53209.79</v>
      </c>
      <c r="J81" t="n" s="18">
        <v>1382.84</v>
      </c>
      <c r="K81" t="n" s="20">
        <v>412.48</v>
      </c>
      <c r="L81" t="n" s="21">
        <v>0.2548</v>
      </c>
      <c r="M81" t="n" s="19">
        <v>3</v>
      </c>
    </row>
    <row r="82" hidden="0" ht="15" customHeight="1" spans="1:1">
      <c r="A82" t="str" s="17">
        <f>HYPERLINK("https://amazon.com/dp/B0F5B8SFRF", "B0F5B8SFRF")</f>
      </c>
      <c r="B82" t="s">
        <v>96</v>
      </c>
      <c r="C82" t="s">
        <v>45</v>
      </c>
      <c r="D82" t="n" s="18">
        <v>60882.39</v>
      </c>
      <c r="E82" t="n" s="19">
        <v>147</v>
      </c>
      <c r="F82" t="n" s="20">
        <v>404.95</v>
      </c>
      <c r="G82" t="n" s="19">
        <v>2983</v>
      </c>
      <c r="H82" t="n" s="21">
        <v>0.0416</v>
      </c>
      <c r="I82" t="n" s="18">
        <v>66327.33</v>
      </c>
      <c r="J82" t="n" s="18">
        <v>1103.68</v>
      </c>
      <c r="K82" t="n" s="20">
        <v>451.21</v>
      </c>
      <c r="L82" t="n" s="21">
        <v>0.1047</v>
      </c>
      <c r="M82" t="n" s="19">
        <v>5</v>
      </c>
    </row>
    <row r="83" hidden="0" ht="15" customHeight="1" spans="1:1">
      <c r="A83" t="str" s="17">
        <f>HYPERLINK("https://amazon.com/dp/B0FZTH4BBZ", "B0FZTH4BBZ")</f>
      </c>
      <c r="B83" t="s">
        <v>97</v>
      </c>
      <c r="C83" t="s">
        <v>22</v>
      </c>
      <c r="D83" t="n" s="18">
        <v>59481.02</v>
      </c>
      <c r="E83" t="n" s="19">
        <v>36</v>
      </c>
      <c r="F83" t="n" s="20">
        <v>1758.53</v>
      </c>
      <c r="G83" t="n" s="19">
        <v>1000</v>
      </c>
      <c r="H83" t="n" s="21">
        <v>0.0334</v>
      </c>
      <c r="I83" t="n" s="18">
        <v>67619.78</v>
      </c>
      <c r="J83" t="n" s="18">
        <v>250</v>
      </c>
      <c r="K83" t="n" s="20">
        <v>1878.33</v>
      </c>
      <c r="L83" t="n" s="21">
        <v>0.2685</v>
      </c>
      <c r="M83" t="n" s="19">
        <v>1</v>
      </c>
    </row>
    <row r="84" hidden="0" ht="15" customHeight="1" spans="1:1">
      <c r="A84" t="str" s="17">
        <f>HYPERLINK("https://amazon.com/dp/B0CB8Q3X4N", "B0CB8Q3X4N")</f>
      </c>
      <c r="B84" t="s">
        <v>98</v>
      </c>
      <c r="C84" t="s">
        <v>22</v>
      </c>
      <c r="D84" t="n" s="18">
        <v>59444.99</v>
      </c>
      <c r="E84" t="n" s="19">
        <v>78</v>
      </c>
      <c r="F84" t="n" s="20">
        <v>740.92</v>
      </c>
      <c r="G84" t="n" s="19">
        <v>563</v>
      </c>
      <c r="H84" t="n" s="21">
        <v>0.06709999999999999</v>
      </c>
      <c r="I84" t="n" s="18">
        <v>60710.09</v>
      </c>
      <c r="J84" t="n" s="18">
        <v>1310.45</v>
      </c>
      <c r="K84" t="n" s="20">
        <v>778.33</v>
      </c>
      <c r="L84" t="n" s="21">
        <v>0.1578</v>
      </c>
      <c r="M84" t="n" s="19">
        <v>0</v>
      </c>
    </row>
    <row r="85" hidden="0" ht="15" customHeight="1" spans="1:1">
      <c r="A85" t="str" s="17">
        <f>HYPERLINK("https://amazon.com/dp/B00ADW9R22", "B00ADW9R22")</f>
      </c>
      <c r="B85" t="s">
        <v>99</v>
      </c>
      <c r="C85" t="s">
        <v>15</v>
      </c>
      <c r="D85" t="n" s="18">
        <v>56541.45</v>
      </c>
      <c r="E85" t="n" s="19">
        <v>30</v>
      </c>
      <c r="F85" t="n" s="20">
        <v>1895.27</v>
      </c>
      <c r="G85" t="n" s="19">
        <v>2641</v>
      </c>
      <c r="H85" t="n" s="21">
        <v>0.011200000000000002</v>
      </c>
      <c r="I85" t="n" s="18">
        <v>51888.45</v>
      </c>
      <c r="J85" t="n" s="18">
        <v>374.96</v>
      </c>
      <c r="K85" t="n" s="20">
        <v>1729.62</v>
      </c>
      <c r="L85" t="n" s="21">
        <v>0.24050000000000002</v>
      </c>
      <c r="M85" t="n" s="19">
        <v>5</v>
      </c>
    </row>
    <row r="86" hidden="0" ht="15" customHeight="1" spans="1:1">
      <c r="A86" t="str" s="17">
        <f>HYPERLINK("https://amazon.com/dp/B0CHFFKF4F", "B0CHFFKF4F")</f>
      </c>
      <c r="B86" t="s">
        <v>100</v>
      </c>
      <c r="C86" t="s">
        <v>15</v>
      </c>
      <c r="D86" t="n" s="18">
        <v>56228.12</v>
      </c>
      <c r="E86" t="n" s="19">
        <v>52</v>
      </c>
      <c r="F86" t="n" s="20">
        <v>1061.73</v>
      </c>
      <c r="G86" t="n" s="19">
        <v>532</v>
      </c>
      <c r="H86" t="n" s="21">
        <v>0.0971</v>
      </c>
      <c r="I86" t="n" s="18">
        <v>48048.27</v>
      </c>
      <c r="J86" t="n" s="18">
        <v>83.33</v>
      </c>
      <c r="K86" t="n" s="20">
        <v>924.01</v>
      </c>
      <c r="L86" t="n" s="21">
        <v>0.2805</v>
      </c>
      <c r="M86" t="n" s="19">
        <v>0</v>
      </c>
    </row>
    <row r="87" hidden="0" ht="15" customHeight="1" spans="1:1">
      <c r="A87" t="str" s="17">
        <f>HYPERLINK("https://amazon.com/dp/B0F19KCGPK", "B0F19KCGPK")</f>
      </c>
      <c r="B87" t="s">
        <v>101</v>
      </c>
      <c r="C87" t="s">
        <v>15</v>
      </c>
      <c r="D87" t="n" s="18">
        <v>54741.44</v>
      </c>
      <c r="E87" t="n" s="19">
        <v>20</v>
      </c>
      <c r="F87" t="n" s="20">
        <v>2736.66</v>
      </c>
      <c r="G87" t="n" s="19">
        <v>1171</v>
      </c>
      <c r="H87" t="n" s="21">
        <v>0.0169</v>
      </c>
      <c r="I87" t="n" s="18">
        <v>48257</v>
      </c>
      <c r="J87" t="n" s="18">
        <v>0</v>
      </c>
      <c r="K87" t="n" s="20">
        <v>2412.85</v>
      </c>
      <c r="L87" t="n" s="21">
        <v>0.2726</v>
      </c>
      <c r="M87" t="n" s="19">
        <v>1</v>
      </c>
    </row>
    <row r="88" hidden="0" ht="15" customHeight="1" spans="1:1">
      <c r="A88" t="str" s="17">
        <f>HYPERLINK("https://amazon.com/dp/B0DCZWWTP9", "B0DCZWWTP9")</f>
      </c>
      <c r="B88" t="s">
        <v>102</v>
      </c>
      <c r="C88" t="s">
        <v>15</v>
      </c>
      <c r="D88" t="n" s="18">
        <v>54202.76</v>
      </c>
      <c r="E88" t="n" s="19">
        <v>22</v>
      </c>
      <c r="F88" t="n" s="20">
        <v>2467.82</v>
      </c>
      <c r="G88" t="n" s="19">
        <v>329</v>
      </c>
      <c r="H88" t="n" s="21">
        <v>0.061500000000000006</v>
      </c>
      <c r="I88" t="n" s="18">
        <v>65813.93</v>
      </c>
      <c r="J88" t="n" s="18">
        <v>91.39</v>
      </c>
      <c r="K88" t="n" s="20">
        <v>2991.54</v>
      </c>
      <c r="L88" t="n" s="21">
        <v>0.1941</v>
      </c>
      <c r="M88" t="n" s="19">
        <v>0</v>
      </c>
    </row>
    <row r="89" hidden="0" ht="15" customHeight="1" spans="1:1">
      <c r="A89" t="str" s="17">
        <f>HYPERLINK("https://amazon.com/dp/B07GBK9CQL", "B07GBK9CQL")</f>
      </c>
      <c r="B89" t="s">
        <v>103</v>
      </c>
      <c r="C89" t="s">
        <v>15</v>
      </c>
      <c r="D89" t="n" s="18">
        <v>52789.36</v>
      </c>
      <c r="E89" t="n" s="19">
        <v>13</v>
      </c>
      <c r="F89" t="n" s="20">
        <v>4060.72</v>
      </c>
      <c r="G89" t="n" s="19">
        <v>535</v>
      </c>
      <c r="H89" t="n" s="21">
        <v>0.0215</v>
      </c>
      <c r="I89" t="n" s="18">
        <v>43528.58</v>
      </c>
      <c r="J89" t="n" s="18">
        <v>0</v>
      </c>
      <c r="K89" t="n" s="20">
        <v>3348.35</v>
      </c>
      <c r="L89" t="n" s="21">
        <v>0.3197</v>
      </c>
      <c r="M89" t="n" s="19">
        <v>3</v>
      </c>
    </row>
    <row r="90" hidden="0" ht="15" customHeight="1" spans="1:1">
      <c r="A90" t="str" s="17">
        <f>HYPERLINK("https://amazon.com/dp/B00A0VBPLM", "B00A0VBPLM")</f>
      </c>
      <c r="B90" t="s">
        <v>104</v>
      </c>
      <c r="C90" t="s">
        <v>15</v>
      </c>
      <c r="D90" t="n" s="18">
        <v>50991.08</v>
      </c>
      <c r="E90" t="n" s="19">
        <v>37</v>
      </c>
      <c r="F90" t="n" s="20">
        <v>1362.68</v>
      </c>
      <c r="G90" t="n" s="19">
        <v>1074</v>
      </c>
      <c r="H90" t="n" s="21">
        <v>0.0351</v>
      </c>
      <c r="I90" t="n" s="18">
        <v>44827.55</v>
      </c>
      <c r="J90" t="n" s="18">
        <v>833.27</v>
      </c>
      <c r="K90" t="n" s="20">
        <v>1211.56</v>
      </c>
      <c r="L90" t="n" s="21">
        <v>0.24960000000000002</v>
      </c>
      <c r="M90" t="n" s="19">
        <v>5</v>
      </c>
    </row>
    <row r="91" hidden="0" ht="15" customHeight="1" spans="1:1">
      <c r="A91" t="str" s="17">
        <f>HYPERLINK("https://amazon.com/dp/B0CKPRGP82", "B0CKPRGP82")</f>
      </c>
      <c r="B91" t="s">
        <v>105</v>
      </c>
      <c r="C91" t="s">
        <v>15</v>
      </c>
      <c r="D91" t="n" s="18">
        <v>46736.44</v>
      </c>
      <c r="E91" t="n" s="19">
        <v>24</v>
      </c>
      <c r="F91" t="n" s="20">
        <v>1873.39</v>
      </c>
      <c r="G91" t="n" s="19">
        <v>478</v>
      </c>
      <c r="H91" t="n" s="21">
        <v>0.043899999999999995</v>
      </c>
      <c r="I91" t="n" s="18">
        <v>51830.28</v>
      </c>
      <c r="J91" t="n" s="18">
        <v>124.98</v>
      </c>
      <c r="K91" t="n" s="20">
        <v>2159.6</v>
      </c>
      <c r="L91" t="n" s="21">
        <v>0.0462</v>
      </c>
      <c r="M91" t="n" s="19">
        <v>2</v>
      </c>
    </row>
    <row r="92" hidden="0" ht="15" customHeight="1" spans="1:1">
      <c r="A92" t="str" s="17">
        <f>HYPERLINK("https://amazon.com/dp/B0DHJHMHFS", "B0DHJHMHFS")</f>
      </c>
      <c r="B92" t="s">
        <v>106</v>
      </c>
      <c r="C92" t="s">
        <v>15</v>
      </c>
      <c r="D92" t="n" s="18">
        <v>45912.51</v>
      </c>
      <c r="E92" t="n" s="19">
        <v>115</v>
      </c>
      <c r="F92" t="n" s="20">
        <v>391.37</v>
      </c>
      <c r="G92" t="n" s="19">
        <v>1753</v>
      </c>
      <c r="H92" t="n" s="21">
        <v>0.0668</v>
      </c>
      <c r="I92" t="n" s="18">
        <v>38922.98</v>
      </c>
      <c r="J92" t="n" s="18">
        <v>346.2</v>
      </c>
      <c r="K92" t="n" s="20">
        <v>338.46</v>
      </c>
      <c r="L92" t="n" s="21">
        <v>0.2788</v>
      </c>
      <c r="M92" t="n" s="19">
        <v>11</v>
      </c>
    </row>
    <row r="93" hidden="0" ht="15" customHeight="1" spans="1:1">
      <c r="A93" t="str" s="17">
        <f>HYPERLINK("https://amazon.com/dp/B01MY5JIJ0", "B01MY5JIJ0")</f>
      </c>
      <c r="B93" t="s">
        <v>107</v>
      </c>
      <c r="C93" t="s">
        <v>15</v>
      </c>
      <c r="D93" t="n" s="18">
        <v>45703.25</v>
      </c>
      <c r="E93" t="n" s="19">
        <v>38</v>
      </c>
      <c r="F93" t="n" s="20">
        <v>1172.31</v>
      </c>
      <c r="G93" t="n" s="19">
        <v>653</v>
      </c>
      <c r="H93" t="n" s="21">
        <v>0.056100000000000004</v>
      </c>
      <c r="I93" t="n" s="18">
        <v>47862.45</v>
      </c>
      <c r="J93" t="n" s="18">
        <v>125</v>
      </c>
      <c r="K93" t="n" s="20">
        <v>1259.54</v>
      </c>
      <c r="L93" t="n" s="21">
        <v>0.1066</v>
      </c>
      <c r="M93" t="n" s="19">
        <v>6</v>
      </c>
    </row>
    <row r="94" hidden="0" ht="15" customHeight="1" spans="1:1">
      <c r="A94" t="str" s="17">
        <f>HYPERLINK("https://amazon.com/dp/B07P681N66", "B07P681N66")</f>
      </c>
      <c r="B94" t="s">
        <v>108</v>
      </c>
      <c r="C94" t="s">
        <v>15</v>
      </c>
      <c r="D94" t="n" s="18">
        <v>44606.7</v>
      </c>
      <c r="E94" t="n" s="19">
        <v>77</v>
      </c>
      <c r="F94" t="n" s="20">
        <v>579.21</v>
      </c>
      <c r="G94" t="n" s="19">
        <v>1083</v>
      </c>
      <c r="H94" t="n" s="21">
        <v>0.06570000000000001</v>
      </c>
      <c r="I94" t="n" s="18">
        <v>47128.81</v>
      </c>
      <c r="J94" t="n" s="18">
        <v>53.03</v>
      </c>
      <c r="K94" t="n" s="20">
        <v>612.06</v>
      </c>
      <c r="L94" t="n" s="21">
        <v>0.1112</v>
      </c>
      <c r="M94" t="n" s="19">
        <v>3</v>
      </c>
    </row>
    <row r="95" hidden="0" ht="15" customHeight="1" spans="1:1">
      <c r="A95" t="str" s="17">
        <f>HYPERLINK("https://amazon.com/dp/B0C3XLCD3X", "B0C3XLCD3X")</f>
      </c>
      <c r="B95" t="s">
        <v>109</v>
      </c>
      <c r="C95" t="s">
        <v>15</v>
      </c>
      <c r="D95" t="n" s="18">
        <v>43379.18</v>
      </c>
      <c r="E95" t="n" s="19">
        <v>7</v>
      </c>
      <c r="F95" t="n" s="20">
        <v>6197.03</v>
      </c>
      <c r="G95" t="n" s="19">
        <v>296</v>
      </c>
      <c r="H95" t="n" s="21">
        <v>0.0233</v>
      </c>
      <c r="I95" t="n" s="18">
        <v>35310.22</v>
      </c>
      <c r="J95" t="n" s="18">
        <v>0</v>
      </c>
      <c r="K95" t="n" s="20">
        <v>5044.32</v>
      </c>
      <c r="L95" t="n" s="21">
        <v>0.3285</v>
      </c>
      <c r="M95" t="n" s="19">
        <v>0</v>
      </c>
    </row>
    <row r="96" hidden="0" ht="15" customHeight="1" spans="1:1">
      <c r="A96" t="str" s="17">
        <f>HYPERLINK("https://amazon.com/dp/B014VB4N4M", "B014VB4N4M")</f>
      </c>
      <c r="B96" t="s">
        <v>110</v>
      </c>
      <c r="C96" t="s">
        <v>15</v>
      </c>
      <c r="D96" t="n" s="18">
        <v>43267.29</v>
      </c>
      <c r="E96" t="n" s="19">
        <v>19</v>
      </c>
      <c r="F96" t="n" s="20">
        <v>2147.02</v>
      </c>
      <c r="G96" t="n" s="19">
        <v>338</v>
      </c>
      <c r="H96" t="n" s="21">
        <v>0.0583</v>
      </c>
      <c r="I96" t="n" s="18">
        <v>45668.89</v>
      </c>
      <c r="J96" t="n" s="18">
        <v>166.67</v>
      </c>
      <c r="K96" t="n" s="20">
        <v>2403.63</v>
      </c>
      <c r="L96" t="n" s="21">
        <v>0.2275</v>
      </c>
      <c r="M96" t="n" s="19">
        <v>1</v>
      </c>
    </row>
    <row r="97" hidden="0" ht="15" customHeight="1" spans="1:1">
      <c r="A97" t="str" s="17">
        <f>HYPERLINK("https://amazon.com/dp/B0G57S2RRR", "B0G57S2RRR")</f>
      </c>
      <c r="B97" t="s">
        <v>111</v>
      </c>
      <c r="C97" t="s">
        <v>15</v>
      </c>
      <c r="D97" t="n" s="18">
        <v>42794.3</v>
      </c>
      <c r="E97" t="n" s="19">
        <v>31</v>
      </c>
      <c r="F97" t="n" s="20">
        <v>1397.02</v>
      </c>
      <c r="G97" t="n" s="19">
        <v>2314</v>
      </c>
      <c r="H97" t="n" s="21">
        <v>0.0129</v>
      </c>
      <c r="I97" t="n" s="18">
        <v>43512.44</v>
      </c>
      <c r="J97" t="n" s="18">
        <v>462.72</v>
      </c>
      <c r="K97" t="n" s="20">
        <v>1403.63</v>
      </c>
      <c r="L97" t="n" s="21">
        <v>0.2018</v>
      </c>
      <c r="M97" t="n" s="19">
        <v>0</v>
      </c>
    </row>
    <row r="98" hidden="0" ht="15" customHeight="1" spans="1:1">
      <c r="A98" t="str" s="17">
        <f>HYPERLINK("https://amazon.com/dp/B00OO47F0G", "B00OO47F0G")</f>
      </c>
      <c r="B98" t="s">
        <v>112</v>
      </c>
      <c r="C98" t="s">
        <v>15</v>
      </c>
      <c r="D98" t="n" s="18">
        <v>42165.83</v>
      </c>
      <c r="E98" t="n" s="19">
        <v>33</v>
      </c>
      <c r="F98" t="n" s="20">
        <v>1280.21</v>
      </c>
      <c r="G98" t="n" s="19">
        <v>707</v>
      </c>
      <c r="H98" t="n" s="21">
        <v>0.044500000000000005</v>
      </c>
      <c r="I98" t="n" s="18">
        <v>41495.48</v>
      </c>
      <c r="J98" t="n" s="18">
        <v>83.32</v>
      </c>
      <c r="K98" t="n" s="20">
        <v>1257.44</v>
      </c>
      <c r="L98" t="n" s="21">
        <v>0.18600000000000003</v>
      </c>
      <c r="M98" t="n" s="19">
        <v>4</v>
      </c>
    </row>
    <row r="99" hidden="0" ht="15" customHeight="1" spans="1:1">
      <c r="A99" t="str" s="17">
        <f>HYPERLINK("https://amazon.com/dp/B07RPVQY62", "B07RPVQY62")</f>
      </c>
      <c r="B99" t="s">
        <v>113</v>
      </c>
      <c r="C99" t="s">
        <v>15</v>
      </c>
      <c r="D99" t="n" s="18">
        <v>41995.04</v>
      </c>
      <c r="E99" t="n" s="19">
        <v>80</v>
      </c>
      <c r="F99" t="n" s="20">
        <v>528.56</v>
      </c>
      <c r="G99" t="n" s="19">
        <v>837</v>
      </c>
      <c r="H99" t="n" s="21">
        <v>0.0933</v>
      </c>
      <c r="I99" t="n" s="18">
        <v>41655.7</v>
      </c>
      <c r="J99" t="n" s="18">
        <v>318.42</v>
      </c>
      <c r="K99" t="n" s="20">
        <v>520.7</v>
      </c>
      <c r="L99" t="n" s="21">
        <v>0.17920000000000003</v>
      </c>
      <c r="M99" t="n" s="19">
        <v>4</v>
      </c>
    </row>
    <row r="100" hidden="0" ht="15" customHeight="1" spans="1:1">
      <c r="A100" t="str" s="17">
        <f>HYPERLINK("https://amazon.com/dp/B07FXXCWQ6", "B07FXXCWQ6")</f>
      </c>
      <c r="B100" t="s">
        <v>114</v>
      </c>
      <c r="C100" t="s">
        <v>15</v>
      </c>
      <c r="D100" t="n" s="18">
        <v>40630.74</v>
      </c>
      <c r="E100" t="n" s="19">
        <v>19</v>
      </c>
      <c r="F100" t="n" s="20">
        <v>2144.82</v>
      </c>
      <c r="G100" t="n" s="19">
        <v>148</v>
      </c>
      <c r="H100" t="n" s="21">
        <v>0.11800000000000001</v>
      </c>
      <c r="I100" t="n" s="18">
        <v>41431.51</v>
      </c>
      <c r="J100" t="n" s="18">
        <v>125</v>
      </c>
      <c r="K100" t="n" s="20">
        <v>2180.61</v>
      </c>
      <c r="L100" t="n" s="21">
        <v>0.1429</v>
      </c>
      <c r="M100" t="n" s="19">
        <v>0</v>
      </c>
    </row>
    <row r="101" hidden="0" ht="15" customHeight="1" spans="1:1">
      <c r="A101" t="str" s="17">
        <f>HYPERLINK("https://amazon.com/dp/B0DFFPYNC7", "B0DFFPYNC7")</f>
      </c>
      <c r="B101" t="s">
        <v>115</v>
      </c>
      <c r="C101" t="s">
        <v>15</v>
      </c>
      <c r="D101" t="n" s="18">
        <v>39816.47</v>
      </c>
      <c r="E101" t="n" s="19">
        <v>20</v>
      </c>
      <c r="F101" t="n" s="20">
        <v>2006.03</v>
      </c>
      <c r="G101" t="n" s="19">
        <v>960</v>
      </c>
      <c r="H101" t="n" s="21">
        <v>0.0202</v>
      </c>
      <c r="I101" t="n" s="18">
        <v>38716.3</v>
      </c>
      <c r="J101" t="n" s="18">
        <v>354.14</v>
      </c>
      <c r="K101" t="n" s="20">
        <v>1935.82</v>
      </c>
      <c r="L101" t="n" s="21">
        <v>0.19510000000000002</v>
      </c>
      <c r="M101" t="n" s="19">
        <v>1</v>
      </c>
    </row>
    <row r="102" hidden="0" ht="15" customHeight="1" spans="1:1">
      <c r="A102" t="str" s="17">
        <f>HYPERLINK("https://amazon.com/dp/B0DQXSRGQ4", "B0DQXSRGQ4")</f>
      </c>
      <c r="B102" t="s">
        <v>116</v>
      </c>
      <c r="C102" t="s">
        <v>15</v>
      </c>
      <c r="D102" t="n" s="18">
        <v>39417.21</v>
      </c>
      <c r="E102" t="n" s="19">
        <v>66</v>
      </c>
      <c r="F102" t="n" s="20">
        <v>626.54</v>
      </c>
      <c r="G102" t="n" s="19">
        <v>845</v>
      </c>
      <c r="H102" t="n" s="21">
        <v>0.0739</v>
      </c>
      <c r="I102" t="n" s="18">
        <v>37457.05</v>
      </c>
      <c r="J102" t="n" s="18">
        <v>212.05</v>
      </c>
      <c r="K102" t="n" s="20">
        <v>567.53</v>
      </c>
      <c r="L102" t="n" s="21">
        <v>0.24719999999999998</v>
      </c>
      <c r="M102" t="n" s="19">
        <v>7</v>
      </c>
    </row>
    <row r="103" hidden="0" ht="15" customHeight="1" spans="1:1">
      <c r="A103" t="str" s="17">
        <f>HYPERLINK("https://amazon.com/dp/B08WPWWM8W", "B08WPWWM8W")</f>
      </c>
      <c r="B103" t="s">
        <v>117</v>
      </c>
      <c r="C103" t="s">
        <v>15</v>
      </c>
      <c r="D103" t="n" s="18">
        <v>39401.08</v>
      </c>
      <c r="E103" t="n" s="19">
        <v>4</v>
      </c>
      <c r="F103" t="n" s="20">
        <v>9850.27</v>
      </c>
      <c r="G103" t="n" s="19">
        <v>139</v>
      </c>
      <c r="H103" t="n" s="21">
        <v>0.027000000000000003</v>
      </c>
      <c r="I103" t="n" s="18">
        <v>36805</v>
      </c>
      <c r="J103" t="n" s="18">
        <v>0</v>
      </c>
      <c r="K103" t="n" s="20">
        <v>9201.25</v>
      </c>
      <c r="L103" t="n" s="21">
        <v>0.226</v>
      </c>
      <c r="M103" t="n" s="19">
        <v>0</v>
      </c>
    </row>
    <row r="104" hidden="0" ht="15" customHeight="1" spans="1:1">
      <c r="A104" t="str" s="17">
        <f>HYPERLINK("https://amazon.com/dp/B0BQTYHKF2", "B0BQTYHKF2")</f>
      </c>
      <c r="B104" t="s">
        <v>118</v>
      </c>
      <c r="C104" t="s">
        <v>15</v>
      </c>
      <c r="D104" t="n" s="18">
        <v>37077.5</v>
      </c>
      <c r="E104" t="n" s="19">
        <v>4</v>
      </c>
      <c r="F104" t="n" s="20">
        <v>12267.29</v>
      </c>
      <c r="G104" t="n" s="19">
        <v>202</v>
      </c>
      <c r="H104" t="n" s="21">
        <v>0.0101</v>
      </c>
      <c r="I104" t="n" s="18">
        <v>48694.78</v>
      </c>
      <c r="J104" t="n" s="18">
        <v>0</v>
      </c>
      <c r="K104" t="n" s="20">
        <v>12173.7</v>
      </c>
      <c r="L104" t="n" s="21">
        <v>0.337</v>
      </c>
      <c r="M104" t="n" s="19">
        <v>0</v>
      </c>
    </row>
    <row r="105" hidden="0" ht="15" customHeight="1" spans="1:1">
      <c r="A105" t="str" s="17">
        <f>HYPERLINK("https://amazon.com/dp/B07TP62GWK", "B07TP62GWK")</f>
      </c>
      <c r="B105" t="s">
        <v>119</v>
      </c>
      <c r="C105" t="s">
        <v>15</v>
      </c>
      <c r="D105" t="n" s="18">
        <v>36007.49</v>
      </c>
      <c r="E105" t="n" s="19">
        <v>33</v>
      </c>
      <c r="F105" t="n" s="20">
        <v>1180.47</v>
      </c>
      <c r="G105" t="n" s="19">
        <v>1280</v>
      </c>
      <c r="H105" t="n" s="21">
        <v>0.020099999999999996</v>
      </c>
      <c r="I105" t="n" s="18">
        <v>43991.54</v>
      </c>
      <c r="J105" t="n" s="18">
        <v>749.93</v>
      </c>
      <c r="K105" t="n" s="20">
        <v>1333.08</v>
      </c>
      <c r="L105" t="n" s="21">
        <v>0.14429999999999998</v>
      </c>
      <c r="M105" t="n" s="19">
        <v>15</v>
      </c>
    </row>
    <row r="106" hidden="0" ht="15" customHeight="1" spans="1:1">
      <c r="A106" t="str" s="17">
        <f>HYPERLINK("https://amazon.com/dp/B0CKPSJ523", "B0CKPSJ523")</f>
      </c>
      <c r="B106" t="s">
        <v>120</v>
      </c>
      <c r="C106" t="s">
        <v>15</v>
      </c>
      <c r="D106" t="n" s="18">
        <v>35604.88</v>
      </c>
      <c r="E106" t="n" s="19">
        <v>10</v>
      </c>
      <c r="F106" t="n" s="20">
        <v>3557.5</v>
      </c>
      <c r="G106" t="n" s="19">
        <v>142</v>
      </c>
      <c r="H106" t="n" s="21">
        <v>0.009899999999999999</v>
      </c>
      <c r="I106" t="n" s="18">
        <v>41109</v>
      </c>
      <c r="J106" t="n" s="18">
        <v>0</v>
      </c>
      <c r="K106" t="n" s="20">
        <v>4110.9</v>
      </c>
      <c r="L106" t="n" s="21">
        <v>0.0467</v>
      </c>
      <c r="M106" t="n" s="19">
        <v>0</v>
      </c>
    </row>
    <row r="107" hidden="0" ht="15" customHeight="1" spans="1:1">
      <c r="A107" t="str" s="17">
        <f>HYPERLINK("https://amazon.com/dp/B0CFFD1SZ1", "B0CFFD1SZ1")</f>
      </c>
      <c r="B107" t="s">
        <v>121</v>
      </c>
      <c r="C107" t="s">
        <v>15</v>
      </c>
      <c r="D107" t="n" s="18">
        <v>35520.63</v>
      </c>
      <c r="E107" t="n" s="19">
        <v>38</v>
      </c>
      <c r="F107" t="n" s="20">
        <v>928.21</v>
      </c>
      <c r="G107" t="n" s="19">
        <v>1116</v>
      </c>
      <c r="H107" t="n" s="21">
        <v>0.0337</v>
      </c>
      <c r="I107" t="n" s="18">
        <v>34923.24</v>
      </c>
      <c r="J107" t="n" s="18">
        <v>678.38</v>
      </c>
      <c r="K107" t="n" s="20">
        <v>919.03</v>
      </c>
      <c r="L107" t="n" s="21">
        <v>0.16390000000000002</v>
      </c>
      <c r="M107" t="n" s="19">
        <v>6</v>
      </c>
    </row>
    <row r="108" hidden="0" ht="15" customHeight="1" spans="1:1">
      <c r="A108" t="str" s="17">
        <f>HYPERLINK("https://amazon.com/dp/B0CKPSXFMJ", "B0CKPSXFMJ")</f>
      </c>
      <c r="B108" t="s">
        <v>122</v>
      </c>
      <c r="C108" t="s">
        <v>15</v>
      </c>
      <c r="D108" t="n" s="18">
        <v>35189.38</v>
      </c>
      <c r="E108" t="n" s="19">
        <v>47</v>
      </c>
      <c r="F108" t="n" s="20">
        <v>755.91</v>
      </c>
      <c r="G108" t="n" s="19">
        <v>1051</v>
      </c>
      <c r="H108" t="n" s="21">
        <v>0.0416</v>
      </c>
      <c r="I108" t="n" s="18">
        <v>38580.49</v>
      </c>
      <c r="J108" t="n" s="18">
        <v>345.31</v>
      </c>
      <c r="K108" t="n" s="20">
        <v>820.86</v>
      </c>
      <c r="L108" t="n" s="21">
        <v>0.09</v>
      </c>
      <c r="M108" t="n" s="19">
        <v>5</v>
      </c>
    </row>
    <row r="109" hidden="0" ht="15" customHeight="1" spans="1:1">
      <c r="A109" t="str" s="17">
        <f>HYPERLINK("https://amazon.com/dp/B0CTGP557X", "B0CTGP557X")</f>
      </c>
      <c r="B109" t="s">
        <v>123</v>
      </c>
      <c r="C109" t="s">
        <v>45</v>
      </c>
      <c r="D109" t="n" s="18">
        <v>34812.31</v>
      </c>
      <c r="E109" t="n" s="19">
        <v>28</v>
      </c>
      <c r="F109" t="n" s="20">
        <v>1286.25</v>
      </c>
      <c r="G109" t="n" s="19">
        <v>974</v>
      </c>
      <c r="H109" t="n" s="21">
        <v>0.0254</v>
      </c>
      <c r="I109" t="n" s="18">
        <v>35250.87</v>
      </c>
      <c r="J109" t="n" s="18">
        <v>82.97</v>
      </c>
      <c r="K109" t="n" s="20">
        <v>1258.96</v>
      </c>
      <c r="L109" t="n" s="21">
        <v>0.17629999999999998</v>
      </c>
      <c r="M109" t="n" s="19">
        <v>3</v>
      </c>
    </row>
    <row r="110" hidden="0" ht="15" customHeight="1" spans="1:1">
      <c r="A110" t="str" s="17">
        <f>HYPERLINK("https://amazon.com/dp/B0F1BXSRJC", "B0F1BXSRJC")</f>
      </c>
      <c r="B110" t="s">
        <v>124</v>
      </c>
      <c r="C110" t="s">
        <v>15</v>
      </c>
      <c r="D110" t="n" s="18">
        <v>34780.02</v>
      </c>
      <c r="E110" t="n" s="19">
        <v>19</v>
      </c>
      <c r="F110" t="n" s="20">
        <v>1826.86</v>
      </c>
      <c r="G110" t="n" s="19">
        <v>1477</v>
      </c>
      <c r="H110" t="n" s="21">
        <v>0.0088</v>
      </c>
      <c r="I110" t="n" s="18">
        <v>49832.9</v>
      </c>
      <c r="J110" t="n" s="18">
        <v>65.41</v>
      </c>
      <c r="K110" t="n" s="20">
        <v>2622.78</v>
      </c>
      <c r="L110" t="n" s="21">
        <v>0.004699999999999999</v>
      </c>
      <c r="M110" t="n" s="19">
        <v>5</v>
      </c>
    </row>
    <row r="111" hidden="0" ht="15" customHeight="1" spans="1:1">
      <c r="A111" t="str" s="17">
        <f>HYPERLINK("https://amazon.com/dp/B0D7GXQQ4N", "B0D7GXQQ4N")</f>
      </c>
      <c r="B111" t="s">
        <v>125</v>
      </c>
      <c r="C111" t="s">
        <v>45</v>
      </c>
      <c r="D111" t="n" s="18">
        <v>34287.8</v>
      </c>
      <c r="E111" t="n" s="19">
        <v>180</v>
      </c>
      <c r="F111" t="n" s="20">
        <v>189.24</v>
      </c>
      <c r="G111" t="n" s="19">
        <v>1249</v>
      </c>
      <c r="H111" t="n" s="21">
        <v>0.12789999999999999</v>
      </c>
      <c r="I111" t="n" s="18">
        <v>32746.71</v>
      </c>
      <c r="J111" t="n" s="18">
        <v>544.41</v>
      </c>
      <c r="K111" t="n" s="20">
        <v>181.93</v>
      </c>
      <c r="L111" t="n" s="21">
        <v>0.1909</v>
      </c>
      <c r="M111" t="n" s="19">
        <v>4</v>
      </c>
    </row>
    <row r="112" hidden="0" ht="15" customHeight="1" spans="1:1">
      <c r="A112" t="str" s="17">
        <f>HYPERLINK("https://amazon.com/dp/B08JLR2751", "B08JLR2751")</f>
      </c>
      <c r="B112" t="s">
        <v>126</v>
      </c>
      <c r="C112" t="s">
        <v>22</v>
      </c>
      <c r="D112" t="n" s="18">
        <v>33890.65</v>
      </c>
      <c r="E112" t="n" s="19">
        <v>25</v>
      </c>
      <c r="F112" t="n" s="20">
        <v>1351.54</v>
      </c>
      <c r="G112" t="n" s="19">
        <v>527</v>
      </c>
      <c r="H112" t="n" s="21">
        <v>0.0086</v>
      </c>
      <c r="I112" t="n" s="18">
        <v>38623.09</v>
      </c>
      <c r="J112" t="n" s="18">
        <v>0</v>
      </c>
      <c r="K112" t="n" s="20">
        <v>1544.92</v>
      </c>
      <c r="L112" t="n" s="21">
        <v>0.0453</v>
      </c>
      <c r="M112" t="n" s="19">
        <v>0</v>
      </c>
    </row>
    <row r="113" hidden="0" ht="15" customHeight="1" spans="1:1">
      <c r="A113" t="str" s="17">
        <f>HYPERLINK("https://amazon.com/dp/B087ML9XMX", "B087ML9XMX")</f>
      </c>
      <c r="B113" t="s">
        <v>127</v>
      </c>
      <c r="C113" t="s">
        <v>15</v>
      </c>
      <c r="D113" t="n" s="18">
        <v>32572.74</v>
      </c>
      <c r="E113" t="n" s="19">
        <v>23</v>
      </c>
      <c r="F113" t="n" s="20">
        <v>1418.54</v>
      </c>
      <c r="G113" t="n" s="19">
        <v>538</v>
      </c>
      <c r="H113" t="n" s="21">
        <v>0.0407</v>
      </c>
      <c r="I113" t="n" s="18">
        <v>37339.63</v>
      </c>
      <c r="J113" t="n" s="18">
        <v>104.15</v>
      </c>
      <c r="K113" t="n" s="20">
        <v>1623.46</v>
      </c>
      <c r="L113" t="n" s="21">
        <v>0.0355</v>
      </c>
      <c r="M113" t="n" s="19">
        <v>4</v>
      </c>
    </row>
    <row r="114" hidden="0" ht="15" customHeight="1" spans="1:1">
      <c r="A114" t="str" s="17">
        <f>HYPERLINK("https://amazon.com/dp/B0CKPSLJ5S", "B0CKPSLJ5S")</f>
      </c>
      <c r="B114" t="s">
        <v>128</v>
      </c>
      <c r="C114" t="s">
        <v>15</v>
      </c>
      <c r="D114" t="n" s="18">
        <v>31764.81</v>
      </c>
      <c r="E114" t="n" s="19">
        <v>3</v>
      </c>
      <c r="F114" t="n" s="20">
        <v>10588.27</v>
      </c>
      <c r="G114" t="n" s="19">
        <v>384</v>
      </c>
      <c r="H114" t="n" s="21">
        <v>0.0077</v>
      </c>
      <c r="I114" t="n" s="18">
        <v>26666.58</v>
      </c>
      <c r="J114" t="n" s="18">
        <v>0</v>
      </c>
      <c r="K114" t="n" s="20">
        <v>8888.86</v>
      </c>
      <c r="L114" t="n" s="21">
        <v>0.3074</v>
      </c>
      <c r="M114" t="n" s="19">
        <v>0</v>
      </c>
    </row>
    <row r="115" hidden="0" ht="15" customHeight="1" spans="1:1">
      <c r="A115" t="str" s="17">
        <f>HYPERLINK("https://amazon.com/dp/B0FQN7QDFC", "B0FQN7QDFC")</f>
      </c>
      <c r="B115" t="s">
        <v>129</v>
      </c>
      <c r="C115" t="s">
        <v>15</v>
      </c>
      <c r="D115" t="n" s="18">
        <v>31313.3</v>
      </c>
      <c r="E115" t="n" s="19">
        <v>50</v>
      </c>
      <c r="F115" t="n" s="20">
        <v>634.38</v>
      </c>
      <c r="G115" t="n" s="19">
        <v>638</v>
      </c>
      <c r="H115" t="n" s="21">
        <v>0.0784</v>
      </c>
      <c r="I115" t="n" s="18">
        <v>29848.99</v>
      </c>
      <c r="J115" t="n" s="18">
        <v>459.54</v>
      </c>
      <c r="K115" t="n" s="20">
        <v>596.98</v>
      </c>
      <c r="L115" t="n" s="21">
        <v>0.20920000000000002</v>
      </c>
      <c r="M115" t="n" s="19">
        <v>2</v>
      </c>
    </row>
    <row r="116" hidden="0" ht="15" customHeight="1" spans="1:1">
      <c r="A116" t="str" s="17">
        <f>HYPERLINK("https://amazon.com/dp/B0F1R6P8KW", "B0F1R6P8KW")</f>
      </c>
      <c r="B116" t="s">
        <v>130</v>
      </c>
      <c r="C116" t="s">
        <v>15</v>
      </c>
      <c r="D116" t="n" s="18">
        <v>30661.32</v>
      </c>
      <c r="E116" t="n" s="19">
        <v>15</v>
      </c>
      <c r="F116" t="n" s="20">
        <v>2045.29</v>
      </c>
      <c r="G116" t="n" s="19">
        <v>217</v>
      </c>
      <c r="H116" t="n" s="21">
        <v>0.067</v>
      </c>
      <c r="I116" t="n" s="18">
        <v>26799.85</v>
      </c>
      <c r="J116" t="n" s="18">
        <v>20.83</v>
      </c>
      <c r="K116" t="n" s="20">
        <v>1786.66</v>
      </c>
      <c r="L116" t="n" s="21">
        <v>0.26649999999999996</v>
      </c>
      <c r="M116" t="n" s="19">
        <v>1</v>
      </c>
    </row>
    <row r="117" hidden="0" ht="15" customHeight="1" spans="1:1">
      <c r="A117" t="str" s="17">
        <f>HYPERLINK("https://amazon.com/dp/B0CRQXSGCH", "B0CRQXSGCH")</f>
      </c>
      <c r="B117" t="s">
        <v>131</v>
      </c>
      <c r="C117" t="s">
        <v>45</v>
      </c>
      <c r="D117" t="n" s="18">
        <v>30325.01</v>
      </c>
      <c r="E117" t="n" s="19">
        <v>10</v>
      </c>
      <c r="F117" t="n" s="20">
        <v>3086.67</v>
      </c>
      <c r="G117" t="n" s="19">
        <v>270</v>
      </c>
      <c r="H117" t="n" s="21">
        <v>0.026099999999999998</v>
      </c>
      <c r="I117" t="n" s="18">
        <v>37602.8</v>
      </c>
      <c r="J117" t="n" s="18">
        <v>541.66</v>
      </c>
      <c r="K117" t="n" s="20">
        <v>3760.28</v>
      </c>
      <c r="L117" t="n" s="21">
        <v>-0.0226</v>
      </c>
      <c r="M117" t="n" s="19">
        <v>0</v>
      </c>
    </row>
    <row r="118" hidden="0" ht="15" customHeight="1" spans="1:1">
      <c r="A118" t="str" s="17">
        <f>HYPERLINK("https://amazon.com/dp/B08GDC61NS", "B08GDC61NS")</f>
      </c>
      <c r="B118" t="s">
        <v>132</v>
      </c>
      <c r="C118" t="s">
        <v>15</v>
      </c>
      <c r="D118" t="n" s="18">
        <v>29696.62</v>
      </c>
      <c r="E118" t="n" s="19">
        <v>19</v>
      </c>
      <c r="F118" t="n" s="20">
        <v>1562.33</v>
      </c>
      <c r="G118" t="n" s="19">
        <v>881</v>
      </c>
      <c r="H118" t="n" s="21">
        <v>0.0215</v>
      </c>
      <c r="I118" t="n" s="18">
        <v>26850.65</v>
      </c>
      <c r="J118" t="n" s="18">
        <v>41.66</v>
      </c>
      <c r="K118" t="n" s="20">
        <v>1413.19</v>
      </c>
      <c r="L118" t="n" s="21">
        <v>0.24960000000000002</v>
      </c>
      <c r="M118" t="n" s="19">
        <v>1</v>
      </c>
    </row>
    <row r="119" hidden="0" ht="15" customHeight="1" spans="1:1">
      <c r="A119" t="str" s="17">
        <f>HYPERLINK("https://amazon.com/dp/B0BPYPK2QC", "B0BPYPK2QC")</f>
      </c>
      <c r="B119" t="s">
        <v>133</v>
      </c>
      <c r="C119" t="s">
        <v>45</v>
      </c>
      <c r="D119" t="n" s="18">
        <v>29571.11</v>
      </c>
      <c r="E119" t="n" s="19">
        <v>21</v>
      </c>
      <c r="F119" t="n" s="20">
        <v>1496.6</v>
      </c>
      <c r="G119" t="n" s="19">
        <v>743</v>
      </c>
      <c r="H119" t="n" s="21">
        <v>0.026600000000000002</v>
      </c>
      <c r="I119" t="n" s="18">
        <v>29363.66</v>
      </c>
      <c r="J119" t="n" s="18">
        <v>471.45</v>
      </c>
      <c r="K119" t="n" s="20">
        <v>1398.27</v>
      </c>
      <c r="L119" t="n" s="21">
        <v>0.21420000000000003</v>
      </c>
      <c r="M119" t="n" s="19">
        <v>1</v>
      </c>
    </row>
    <row r="120" hidden="0" ht="15" customHeight="1" spans="1:1">
      <c r="A120" t="str" s="17">
        <f>HYPERLINK("https://amazon.com/dp/B0DJH27B1Q", "B0DJH27B1Q")</f>
      </c>
      <c r="B120" t="s">
        <v>134</v>
      </c>
      <c r="C120" t="s">
        <v>15</v>
      </c>
      <c r="D120" t="n" s="18">
        <v>29348.45</v>
      </c>
      <c r="E120" t="n" s="19">
        <v>19</v>
      </c>
      <c r="F120" t="n" s="20">
        <v>1639.72</v>
      </c>
      <c r="G120" t="n" s="19">
        <v>476</v>
      </c>
      <c r="H120" t="n" s="21">
        <v>0.0375</v>
      </c>
      <c r="I120" t="n" s="18">
        <v>30640.58</v>
      </c>
      <c r="J120" t="n" s="18">
        <v>208.33</v>
      </c>
      <c r="K120" t="n" s="20">
        <v>1612.66</v>
      </c>
      <c r="L120" t="n" s="21">
        <v>0.17350000000000002</v>
      </c>
      <c r="M120" t="n" s="19">
        <v>0</v>
      </c>
    </row>
    <row r="121" hidden="0" ht="15" customHeight="1" spans="1:1">
      <c r="A121" t="str" s="17">
        <f>HYPERLINK("https://amazon.com/dp/B00YU23DI0", "B00YU23DI0")</f>
      </c>
      <c r="B121" t="s">
        <v>135</v>
      </c>
      <c r="C121" t="s">
        <v>15</v>
      </c>
      <c r="D121" t="n" s="18">
        <v>28876.23</v>
      </c>
      <c r="E121" t="n" s="19">
        <v>45</v>
      </c>
      <c r="F121" t="n" s="20">
        <v>665.83</v>
      </c>
      <c r="G121" t="n" s="19">
        <v>346</v>
      </c>
      <c r="H121" t="n" s="21">
        <v>0.0802</v>
      </c>
      <c r="I121" t="n" s="18">
        <v>66539.4</v>
      </c>
      <c r="J121" t="n" s="18">
        <v>1131.86</v>
      </c>
      <c r="K121" t="n" s="20">
        <v>1478.65</v>
      </c>
      <c r="L121" t="n" s="21">
        <v>0.2139</v>
      </c>
      <c r="M121" t="n" s="19">
        <v>0</v>
      </c>
    </row>
    <row r="122" hidden="0" ht="15" customHeight="1" spans="1:1">
      <c r="A122" t="str" s="17">
        <f>HYPERLINK("https://amazon.com/dp/B0CKPVC9DM", "B0CKPVC9DM")</f>
      </c>
      <c r="B122" t="s">
        <v>136</v>
      </c>
      <c r="C122" t="s">
        <v>15</v>
      </c>
      <c r="D122" t="n" s="18">
        <v>28581.25</v>
      </c>
      <c r="E122" t="n" s="19">
        <v>5</v>
      </c>
      <c r="F122" t="n" s="20">
        <v>5715.83</v>
      </c>
      <c r="G122" t="n" s="19">
        <v>118</v>
      </c>
      <c r="H122" t="n" s="21">
        <v>0.012</v>
      </c>
      <c r="I122" t="n" s="18">
        <v>29536.82</v>
      </c>
      <c r="J122" t="n" s="18">
        <v>0</v>
      </c>
      <c r="K122" t="n" s="20">
        <v>5907.36</v>
      </c>
      <c r="L122" t="n" s="21">
        <v>0.1474</v>
      </c>
      <c r="M122" t="n" s="19">
        <v>0</v>
      </c>
    </row>
    <row r="123" hidden="0" ht="15" customHeight="1" spans="1:1">
      <c r="A123" t="str" s="17">
        <f>HYPERLINK("https://amazon.com/dp/B0GVZ756RC", "B0GVZ756RC")</f>
      </c>
      <c r="B123" t="s">
        <v>137</v>
      </c>
      <c r="C123" t="s">
        <v>45</v>
      </c>
      <c r="D123" t="n" s="18">
        <v>28365.04</v>
      </c>
      <c r="E123" t="n" s="19">
        <v>18</v>
      </c>
      <c r="F123" t="n" s="20">
        <v>1579.55</v>
      </c>
      <c r="G123" t="n" s="19">
        <v>993</v>
      </c>
      <c r="H123" t="n" s="21">
        <v>0.0171</v>
      </c>
      <c r="I123" t="n" s="18">
        <v>27567.78</v>
      </c>
      <c r="J123" t="n" s="18">
        <v>66.89</v>
      </c>
      <c r="K123" t="n" s="20">
        <v>1531.54</v>
      </c>
      <c r="L123" t="n" s="21">
        <v>0.2733</v>
      </c>
      <c r="M123" t="n" s="19">
        <v>0</v>
      </c>
    </row>
    <row r="124" hidden="0" ht="15" customHeight="1" spans="1:1">
      <c r="A124" t="str" s="17">
        <f>HYPERLINK("https://amazon.com/dp/B0DPZNFKBL", "B0DPZNFKBL")</f>
      </c>
      <c r="B124" t="s">
        <v>138</v>
      </c>
      <c r="C124" t="s">
        <v>15</v>
      </c>
      <c r="D124" t="n" s="18">
        <v>27541.23</v>
      </c>
      <c r="E124" t="n" s="19">
        <v>48</v>
      </c>
      <c r="F124" t="n" s="20">
        <v>594.22</v>
      </c>
      <c r="G124" t="n" s="19">
        <v>680</v>
      </c>
      <c r="H124" t="n" s="21">
        <v>0.06860000000000001</v>
      </c>
      <c r="I124" t="n" s="18">
        <v>30374.75</v>
      </c>
      <c r="J124" t="n" s="18">
        <v>385.07</v>
      </c>
      <c r="K124" t="n" s="20">
        <v>632.81</v>
      </c>
      <c r="L124" t="n" s="21">
        <v>0.1036</v>
      </c>
      <c r="M124" t="n" s="19">
        <v>4</v>
      </c>
    </row>
    <row r="125" hidden="0" ht="15" customHeight="1" spans="1:1">
      <c r="A125" t="str" s="17">
        <f>HYPERLINK("https://amazon.com/dp/B0D9LZTDLR", "B0D9LZTDLR")</f>
      </c>
      <c r="B125" t="s">
        <v>139</v>
      </c>
      <c r="C125" t="s">
        <v>15</v>
      </c>
      <c r="D125" t="n" s="18">
        <v>27153.43</v>
      </c>
      <c r="E125" t="n" s="19">
        <v>13</v>
      </c>
      <c r="F125" t="n" s="20">
        <v>1946.52</v>
      </c>
      <c r="G125" t="n" s="19">
        <v>436</v>
      </c>
      <c r="H125" t="n" s="21">
        <v>0.0321</v>
      </c>
      <c r="I125" t="n" s="18">
        <v>24968.79</v>
      </c>
      <c r="J125" t="n" s="18">
        <v>187.49</v>
      </c>
      <c r="K125" t="n" s="20">
        <v>1920.68</v>
      </c>
      <c r="L125" t="n" s="21">
        <v>0.17850000000000002</v>
      </c>
      <c r="M125" t="n" s="19">
        <v>1</v>
      </c>
    </row>
    <row r="126" hidden="0" ht="15" customHeight="1" spans="1:1">
      <c r="A126" t="str" s="17">
        <f>HYPERLINK("https://amazon.com/dp/B08BS3SHZV", "B08BS3SHZV")</f>
      </c>
      <c r="B126" t="s">
        <v>140</v>
      </c>
      <c r="C126" t="s">
        <v>15</v>
      </c>
      <c r="D126" t="n" s="18">
        <v>26368.98</v>
      </c>
      <c r="E126" t="n" s="19">
        <v>17</v>
      </c>
      <c r="F126" t="n" s="20">
        <v>1558.47</v>
      </c>
      <c r="G126" t="n" s="19">
        <v>491</v>
      </c>
      <c r="H126" t="n" s="21">
        <v>0.0146</v>
      </c>
      <c r="I126" t="n" s="18">
        <v>29820.65</v>
      </c>
      <c r="J126" t="n" s="18">
        <v>125</v>
      </c>
      <c r="K126" t="n" s="20">
        <v>1754.16</v>
      </c>
      <c r="L126" t="n" s="21">
        <v>0.1332</v>
      </c>
      <c r="M126" t="n" s="19">
        <v>2</v>
      </c>
    </row>
    <row r="127" hidden="0" ht="15" customHeight="1" spans="1:1">
      <c r="A127" t="str" s="17">
        <f>HYPERLINK("https://amazon.com/dp/B0BTSQ3RC1", "B0BTSQ3RC1")</f>
      </c>
      <c r="B127" t="s">
        <v>141</v>
      </c>
      <c r="C127" t="s">
        <v>15</v>
      </c>
      <c r="D127" t="n" s="18">
        <v>26037.51</v>
      </c>
      <c r="E127" t="n" s="19">
        <v>6</v>
      </c>
      <c r="F127" t="n" s="20">
        <v>5284.46</v>
      </c>
      <c r="G127" t="n" s="19">
        <v>556</v>
      </c>
      <c r="H127" t="n" s="21">
        <v>0.0076</v>
      </c>
      <c r="I127" t="n" s="18">
        <v>36352.02</v>
      </c>
      <c r="J127" t="n" s="18">
        <v>0</v>
      </c>
      <c r="K127" t="n" s="20">
        <v>6058.67</v>
      </c>
      <c r="L127" t="n" s="21">
        <v>0.1259</v>
      </c>
      <c r="M127" t="n" s="19">
        <v>1</v>
      </c>
    </row>
    <row r="128" hidden="0" ht="15" customHeight="1" spans="1:1">
      <c r="A128" t="str" s="17">
        <f>HYPERLINK("https://amazon.com/dp/B00N0OHEMA", "B00N0OHEMA")</f>
      </c>
      <c r="B128" t="s">
        <v>142</v>
      </c>
      <c r="C128" t="s">
        <v>15</v>
      </c>
      <c r="D128" t="n" s="18">
        <v>25862.26</v>
      </c>
      <c r="E128" t="n" s="19">
        <v>35</v>
      </c>
      <c r="F128" t="n" s="20">
        <v>730.35</v>
      </c>
      <c r="G128" t="n" s="19">
        <v>415</v>
      </c>
      <c r="H128" t="n" s="21">
        <v>0.0863</v>
      </c>
      <c r="I128" t="n" s="18">
        <v>24112.79</v>
      </c>
      <c r="J128" t="n" s="18">
        <v>417.08</v>
      </c>
      <c r="K128" t="n" s="20">
        <v>688.94</v>
      </c>
      <c r="L128" t="n" s="21">
        <v>0.20550000000000002</v>
      </c>
      <c r="M128" t="n" s="19">
        <v>2</v>
      </c>
    </row>
    <row r="129" hidden="0" ht="15" customHeight="1" spans="1:1">
      <c r="A129" t="str" s="17">
        <f>HYPERLINK("https://amazon.com/dp/B0CQD8L8NM", "B0CQD8L8NM")</f>
      </c>
      <c r="B129" t="s">
        <v>143</v>
      </c>
      <c r="C129" t="s">
        <v>45</v>
      </c>
      <c r="D129" t="n" s="18">
        <v>25394.56</v>
      </c>
      <c r="E129" t="n" s="19">
        <v>2</v>
      </c>
      <c r="F129" t="n" s="20">
        <v>8360.67</v>
      </c>
      <c r="G129" t="n" s="19">
        <v>192</v>
      </c>
      <c r="H129" t="n" s="21">
        <v>0.0126</v>
      </c>
      <c r="I129" t="n" s="18">
        <v>18893.86</v>
      </c>
      <c r="J129" t="n" s="18">
        <v>0</v>
      </c>
      <c r="K129" t="n" s="20">
        <v>9446.93</v>
      </c>
      <c r="L129" t="n" s="21">
        <v>0.0678</v>
      </c>
      <c r="M129" t="n" s="19">
        <v>0</v>
      </c>
    </row>
    <row r="130" hidden="0" ht="15" customHeight="1" spans="1:1">
      <c r="A130" t="str" s="17">
        <f>HYPERLINK("https://amazon.com/dp/B0DNYZQ5GS", "B0DNYZQ5GS")</f>
      </c>
      <c r="B130" t="s">
        <v>144</v>
      </c>
      <c r="C130" t="s">
        <v>15</v>
      </c>
      <c r="D130" t="n" s="18">
        <v>25366.14</v>
      </c>
      <c r="E130" t="n" s="19">
        <v>26</v>
      </c>
      <c r="F130" t="n" s="20">
        <v>1019.51</v>
      </c>
      <c r="G130" t="n" s="19">
        <v>444</v>
      </c>
      <c r="H130" t="n" s="21">
        <v>0.055099999999999996</v>
      </c>
      <c r="I130" t="n" s="18">
        <v>23668.76</v>
      </c>
      <c r="J130" t="n" s="18">
        <v>206.98</v>
      </c>
      <c r="K130" t="n" s="20">
        <v>910.34</v>
      </c>
      <c r="L130" t="n" s="21">
        <v>0.2421</v>
      </c>
      <c r="M130" t="n" s="19">
        <v>5</v>
      </c>
    </row>
    <row r="131" hidden="0" ht="15" customHeight="1" spans="1:1">
      <c r="A131" t="str" s="17">
        <f>HYPERLINK("https://amazon.com/dp/B0FJM88BTG", "B0FJM88BTG")</f>
      </c>
      <c r="B131" t="s">
        <v>145</v>
      </c>
      <c r="C131" t="s">
        <v>15</v>
      </c>
      <c r="D131" t="n" s="18">
        <v>24655.99</v>
      </c>
      <c r="E131" t="n" s="19">
        <v>6</v>
      </c>
      <c r="F131" t="n" s="20">
        <v>3516.75</v>
      </c>
      <c r="G131" t="n" s="19">
        <v>121</v>
      </c>
      <c r="H131" t="n" s="21">
        <v>0.0393</v>
      </c>
      <c r="I131" t="n" s="18">
        <v>24258.42</v>
      </c>
      <c r="J131" t="n" s="18">
        <v>0</v>
      </c>
      <c r="K131" t="n" s="20">
        <v>4043.07</v>
      </c>
      <c r="L131" t="n" s="21">
        <v>0.051500000000000004</v>
      </c>
      <c r="M131" t="n" s="19">
        <v>1</v>
      </c>
    </row>
    <row r="132" hidden="0" ht="15" customHeight="1" spans="1:1">
      <c r="A132" t="str" s="17">
        <f>HYPERLINK("https://amazon.com/dp/B0F674XQJR", "B0F674XQJR")</f>
      </c>
      <c r="B132" t="s">
        <v>146</v>
      </c>
      <c r="C132" t="s">
        <v>15</v>
      </c>
      <c r="D132" t="n" s="18">
        <v>23522.44</v>
      </c>
      <c r="E132" t="n" s="19">
        <v>20</v>
      </c>
      <c r="F132" t="n" s="20">
        <v>1306.85</v>
      </c>
      <c r="G132" t="n" s="19">
        <v>248</v>
      </c>
      <c r="H132" t="n" s="21">
        <v>0.0172</v>
      </c>
      <c r="I132" t="n" s="18">
        <v>28830.74</v>
      </c>
      <c r="J132" t="n" s="18">
        <v>125</v>
      </c>
      <c r="K132" t="n" s="20">
        <v>1441.54</v>
      </c>
      <c r="L132" t="n" s="21">
        <v>0.16440000000000002</v>
      </c>
      <c r="M132" t="n" s="19">
        <v>2</v>
      </c>
    </row>
    <row r="133" hidden="0" ht="15" customHeight="1" spans="1:1">
      <c r="A133" t="str" s="17">
        <f>HYPERLINK("https://amazon.com/dp/B0DP4N2J9L", "B0DP4N2J9L")</f>
      </c>
      <c r="B133" t="s">
        <v>147</v>
      </c>
      <c r="C133" t="s">
        <v>15</v>
      </c>
      <c r="D133" t="n" s="18">
        <v>23171.22</v>
      </c>
      <c r="E133" t="n" s="19">
        <v>20</v>
      </c>
      <c r="F133" t="n" s="20">
        <v>1174.15</v>
      </c>
      <c r="G133" t="n" s="19">
        <v>618</v>
      </c>
      <c r="H133" t="n" s="21">
        <v>0.0322</v>
      </c>
      <c r="I133" t="n" s="18">
        <v>26108.28</v>
      </c>
      <c r="J133" t="n" s="18">
        <v>312.47</v>
      </c>
      <c r="K133" t="n" s="20">
        <v>1305.41</v>
      </c>
      <c r="L133" t="n" s="21">
        <v>0.0617</v>
      </c>
      <c r="M133" t="n" s="19">
        <v>1</v>
      </c>
    </row>
    <row r="134" hidden="0" ht="15" customHeight="1" spans="1:1">
      <c r="A134" t="str" s="17">
        <f>HYPERLINK("https://amazon.com/dp/B0GVTH4693", "B0GVTH4693")</f>
      </c>
      <c r="B134" t="s">
        <v>148</v>
      </c>
      <c r="C134" t="s">
        <v>22</v>
      </c>
      <c r="D134" t="n" s="18">
        <v>22752.18</v>
      </c>
      <c r="E134" t="n" s="19">
        <v>9</v>
      </c>
      <c r="F134" t="n" s="20">
        <v>2528.02</v>
      </c>
      <c r="G134" t="n" s="19">
        <v>452</v>
      </c>
      <c r="H134" t="n" s="21">
        <v>0.0132</v>
      </c>
      <c r="I134" t="n" s="18">
        <v>21862.07</v>
      </c>
      <c r="J134" t="n" s="18">
        <v>0</v>
      </c>
      <c r="K134" t="n" s="20">
        <v>2429.12</v>
      </c>
      <c r="L134" t="n" s="21">
        <v>0.1887</v>
      </c>
      <c r="M134" t="n" s="19">
        <v>0</v>
      </c>
    </row>
    <row r="135" hidden="0" ht="15" customHeight="1" spans="1:1">
      <c r="A135" t="str" s="17">
        <f>HYPERLINK("https://amazon.com/dp/B0GB766JQD", "B0GB766JQD")</f>
      </c>
      <c r="B135" t="s">
        <v>149</v>
      </c>
      <c r="C135" t="s">
        <v>45</v>
      </c>
      <c r="D135" t="n" s="18">
        <v>22406.1</v>
      </c>
      <c r="E135" t="n" s="19">
        <v>22</v>
      </c>
      <c r="F135" t="n" s="20">
        <v>1030.77</v>
      </c>
      <c r="G135" t="n" s="19">
        <v>484</v>
      </c>
      <c r="H135" t="n" s="21">
        <v>0.0452</v>
      </c>
      <c r="I135" t="n" s="18">
        <v>22852.61</v>
      </c>
      <c r="J135" t="n" s="18">
        <v>270.84</v>
      </c>
      <c r="K135" t="n" s="20">
        <v>1038.76</v>
      </c>
      <c r="L135" t="n" s="21">
        <v>0.1567</v>
      </c>
      <c r="M135" t="n" s="19">
        <v>0</v>
      </c>
    </row>
    <row r="136" hidden="0" ht="15" customHeight="1" spans="1:1">
      <c r="A136" t="str" s="17">
        <f>HYPERLINK("https://amazon.com/dp/B00YMTNVEM", "B00YMTNVEM")</f>
      </c>
      <c r="B136" t="s">
        <v>150</v>
      </c>
      <c r="C136" t="s">
        <v>15</v>
      </c>
      <c r="D136" t="n" s="18">
        <v>22286.31</v>
      </c>
      <c r="E136" t="n" s="19">
        <v>51</v>
      </c>
      <c r="F136" t="n" s="20">
        <v>445.12</v>
      </c>
      <c r="G136" t="n" s="19">
        <v>382</v>
      </c>
      <c r="H136" t="n" s="21">
        <v>0.1307</v>
      </c>
      <c r="I136" t="n" s="18">
        <v>21068.46</v>
      </c>
      <c r="J136" t="n" s="18">
        <v>733.78</v>
      </c>
      <c r="K136" t="n" s="20">
        <v>413.11</v>
      </c>
      <c r="L136" t="n" s="21">
        <v>0.1852</v>
      </c>
      <c r="M136" t="n" s="19">
        <v>0</v>
      </c>
    </row>
    <row r="137" hidden="0" ht="15" customHeight="1" spans="1:1">
      <c r="A137" t="str" s="17">
        <f>HYPERLINK("https://amazon.com/dp/B07B52MSXK", "B07B52MSXK")</f>
      </c>
      <c r="B137" t="s">
        <v>151</v>
      </c>
      <c r="C137" t="s">
        <v>15</v>
      </c>
      <c r="D137" t="n" s="18">
        <v>21979.98</v>
      </c>
      <c r="E137" t="n" s="19">
        <v>9</v>
      </c>
      <c r="F137" t="n" s="20">
        <v>2738.07</v>
      </c>
      <c r="G137" t="n" s="19">
        <v>312</v>
      </c>
      <c r="H137" t="n" s="21">
        <v>0.025</v>
      </c>
      <c r="I137" t="n" s="18">
        <v>22815.6</v>
      </c>
      <c r="J137" t="n" s="18">
        <v>0</v>
      </c>
      <c r="K137" t="n" s="20">
        <v>2535.07</v>
      </c>
      <c r="L137" t="n" s="21">
        <v>0.2223</v>
      </c>
      <c r="M137" t="n" s="19">
        <v>0</v>
      </c>
    </row>
    <row r="138" hidden="0" ht="15" customHeight="1" spans="1:1">
      <c r="A138" t="str" s="17">
        <f>HYPERLINK("https://amazon.com/dp/B0DNMLCGLJ", "B0DNMLCGLJ")</f>
      </c>
      <c r="B138" t="s">
        <v>152</v>
      </c>
      <c r="C138" t="s">
        <v>22</v>
      </c>
      <c r="D138" t="n" s="18">
        <v>21970.59</v>
      </c>
      <c r="E138" t="n" s="19">
        <v>13</v>
      </c>
      <c r="F138" t="n" s="20">
        <v>1696.21</v>
      </c>
      <c r="G138" t="n" s="19">
        <v>414</v>
      </c>
      <c r="H138" t="n" s="21">
        <v>0.031200000000000002</v>
      </c>
      <c r="I138" t="n" s="18">
        <v>20772.66</v>
      </c>
      <c r="J138" t="n" s="18">
        <v>83.32</v>
      </c>
      <c r="K138" t="n" s="20">
        <v>1597.9</v>
      </c>
      <c r="L138" t="n" s="21">
        <v>0.21899999999999997</v>
      </c>
      <c r="M138" t="n" s="19">
        <v>1</v>
      </c>
    </row>
    <row r="139" hidden="0" ht="15" customHeight="1" spans="1:1">
      <c r="A139" t="str" s="17">
        <f>HYPERLINK("https://amazon.com/dp/B0DQTLDKD2", "B0DQTLDKD2")</f>
      </c>
      <c r="B139" t="s">
        <v>153</v>
      </c>
      <c r="C139" t="s">
        <v>15</v>
      </c>
      <c r="D139" t="n" s="18">
        <v>21793.66</v>
      </c>
      <c r="E139" t="n" s="19">
        <v>28</v>
      </c>
      <c r="F139" t="n" s="20">
        <v>813.95</v>
      </c>
      <c r="G139" t="n" s="19">
        <v>749</v>
      </c>
      <c r="H139" t="n" s="21">
        <v>0.036000000000000004</v>
      </c>
      <c r="I139" t="n" s="18">
        <v>21594.43</v>
      </c>
      <c r="J139" t="n" s="18">
        <v>187.49</v>
      </c>
      <c r="K139" t="n" s="20">
        <v>771.23</v>
      </c>
      <c r="L139" t="n" s="21">
        <v>0.2096</v>
      </c>
      <c r="M139" t="n" s="19">
        <v>1</v>
      </c>
    </row>
    <row r="140" hidden="0" ht="15" customHeight="1" spans="1:1">
      <c r="A140" t="str" s="17">
        <f>HYPERLINK("https://amazon.com/dp/B00K11UIV4", "B00K11UIV4")</f>
      </c>
      <c r="B140" t="s">
        <v>154</v>
      </c>
      <c r="C140" t="s">
        <v>15</v>
      </c>
      <c r="D140" t="n" s="18">
        <v>21729.02</v>
      </c>
      <c r="E140" t="n" s="19">
        <v>45</v>
      </c>
      <c r="F140" t="n" s="20">
        <v>494.09</v>
      </c>
      <c r="G140" t="n" s="19">
        <v>572</v>
      </c>
      <c r="H140" t="n" s="21">
        <v>0.0759</v>
      </c>
      <c r="I140" t="n" s="18">
        <v>13185.88</v>
      </c>
      <c r="J140" t="n" s="18">
        <v>95.79</v>
      </c>
      <c r="K140" t="n" s="20">
        <v>293.02</v>
      </c>
      <c r="L140" t="n" s="21">
        <v>0.5064</v>
      </c>
      <c r="M140" t="n" s="19">
        <v>2</v>
      </c>
    </row>
    <row r="141" hidden="0" ht="15" customHeight="1" spans="1:1">
      <c r="A141" t="str" s="17">
        <f>HYPERLINK("https://amazon.com/dp/B06ZZV414V", "B06ZZV414V")</f>
      </c>
      <c r="B141" t="s">
        <v>155</v>
      </c>
      <c r="C141" t="s">
        <v>15</v>
      </c>
      <c r="D141" t="n" s="18">
        <v>21216.61</v>
      </c>
      <c r="E141" t="n" s="19">
        <v>13</v>
      </c>
      <c r="F141" t="n" s="20">
        <v>1640.3</v>
      </c>
      <c r="G141" t="n" s="19">
        <v>223</v>
      </c>
      <c r="H141" t="n" s="21">
        <v>0.029500000000000002</v>
      </c>
      <c r="I141" t="n" s="18">
        <v>21647.57</v>
      </c>
      <c r="J141" t="n" s="18">
        <v>107.28</v>
      </c>
      <c r="K141" t="n" s="20">
        <v>1665.2</v>
      </c>
      <c r="L141" t="n" s="21">
        <v>0.1539</v>
      </c>
      <c r="M141" t="n" s="19">
        <v>3</v>
      </c>
    </row>
    <row r="142" hidden="0" ht="15" customHeight="1" spans="1:1">
      <c r="A142" t="str" s="17">
        <f>HYPERLINK("https://amazon.com/dp/B0BDXT2R9F", "B0BDXT2R9F")</f>
      </c>
      <c r="B142" t="s">
        <v>156</v>
      </c>
      <c r="C142" t="s">
        <v>22</v>
      </c>
      <c r="D142" t="n" s="18">
        <v>21149.22</v>
      </c>
      <c r="E142" t="n" s="19">
        <v>24</v>
      </c>
      <c r="F142" t="n" s="20">
        <v>749.17</v>
      </c>
      <c r="G142" t="n" s="19">
        <v>877</v>
      </c>
      <c r="H142" t="n" s="21">
        <v>0.0316</v>
      </c>
      <c r="I142" t="n" s="18">
        <v>16078.92</v>
      </c>
      <c r="J142" t="n" s="18">
        <v>474.55</v>
      </c>
      <c r="K142" t="n" s="20">
        <v>669.95</v>
      </c>
      <c r="L142" t="n" s="21">
        <v>0.23579999999999998</v>
      </c>
      <c r="M142" t="n" s="19">
        <v>4</v>
      </c>
    </row>
    <row r="143" hidden="0" ht="15" customHeight="1" spans="1:1">
      <c r="A143" t="str" s="17">
        <f>HYPERLINK("https://amazon.com/dp/B0F1CF97SC", "B0F1CF97SC")</f>
      </c>
      <c r="B143" t="s">
        <v>157</v>
      </c>
      <c r="C143" t="s">
        <v>15</v>
      </c>
      <c r="D143" t="n" s="18">
        <v>19478.93</v>
      </c>
      <c r="E143" t="n" s="19">
        <v>18</v>
      </c>
      <c r="F143" t="n" s="20">
        <v>1085.63</v>
      </c>
      <c r="G143" t="n" s="19">
        <v>106</v>
      </c>
      <c r="H143" t="n" s="21">
        <v>0.1698</v>
      </c>
      <c r="I143" t="n" s="18">
        <v>18666</v>
      </c>
      <c r="J143" t="n" s="18">
        <v>62.49</v>
      </c>
      <c r="K143" t="n" s="20">
        <v>1037</v>
      </c>
      <c r="L143" t="n" s="21">
        <v>0.20879999999999999</v>
      </c>
      <c r="M143" t="n" s="19">
        <v>1</v>
      </c>
    </row>
    <row r="144" hidden="0" ht="15" customHeight="1" spans="1:1">
      <c r="A144" t="str" s="17">
        <f>HYPERLINK("https://amazon.com/dp/B0F1RHG41W", "B0F1RHG41W")</f>
      </c>
      <c r="B144" t="s">
        <v>158</v>
      </c>
      <c r="C144" t="s">
        <v>15</v>
      </c>
      <c r="D144" t="n" s="18">
        <v>19473.39</v>
      </c>
      <c r="E144" t="n" s="19">
        <v>7</v>
      </c>
      <c r="F144" t="n" s="20">
        <v>2778.35</v>
      </c>
      <c r="G144" t="n" s="19">
        <v>91</v>
      </c>
      <c r="H144" t="n" s="21">
        <v>0.07139999999999999</v>
      </c>
      <c r="I144" t="n" s="18">
        <v>19685.83</v>
      </c>
      <c r="J144" t="n" s="18">
        <v>0</v>
      </c>
      <c r="K144" t="n" s="20">
        <v>2812.26</v>
      </c>
      <c r="L144" t="n" s="21">
        <v>0.1649</v>
      </c>
      <c r="M144" t="n" s="19">
        <v>0</v>
      </c>
    </row>
    <row r="145" hidden="0" ht="15" customHeight="1" spans="1:1">
      <c r="A145" t="str" s="17">
        <f>HYPERLINK("https://amazon.com/dp/B00DBRPKS6", "B00DBRPKS6")</f>
      </c>
      <c r="B145" t="s">
        <v>159</v>
      </c>
      <c r="C145" t="s">
        <v>15</v>
      </c>
      <c r="D145" t="n" s="18">
        <v>18194.65</v>
      </c>
      <c r="E145" t="n" s="19">
        <v>7</v>
      </c>
      <c r="F145" t="n" s="20">
        <v>2599.01</v>
      </c>
      <c r="G145" t="n" s="19">
        <v>96</v>
      </c>
      <c r="H145" t="n" s="21">
        <v>0.0387</v>
      </c>
      <c r="I145" t="n" s="18">
        <v>17623.5</v>
      </c>
      <c r="J145" t="n" s="18">
        <v>0</v>
      </c>
      <c r="K145" t="n" s="20">
        <v>2517.64</v>
      </c>
      <c r="L145" t="n" s="21">
        <v>0.19269999999999998</v>
      </c>
      <c r="M145" t="n" s="19">
        <v>0</v>
      </c>
    </row>
    <row r="146" hidden="0" ht="15" customHeight="1" spans="1:1">
      <c r="A146" t="str" s="17">
        <f>HYPERLINK("https://amazon.com/dp/B08MH4VLR3", "B08MH4VLR3")</f>
      </c>
      <c r="B146" t="s">
        <v>160</v>
      </c>
      <c r="C146" t="s">
        <v>15</v>
      </c>
      <c r="D146" t="n" s="18">
        <v>17919.97</v>
      </c>
      <c r="E146" t="n" s="19">
        <v>9</v>
      </c>
      <c r="F146" t="n" s="20">
        <v>1995.17</v>
      </c>
      <c r="G146" t="n" s="19">
        <v>154</v>
      </c>
      <c r="H146" t="n" s="21">
        <v>0.0296</v>
      </c>
      <c r="I146" t="n" s="18">
        <v>15006.89</v>
      </c>
      <c r="J146" t="n" s="18">
        <v>36.56</v>
      </c>
      <c r="K146" t="n" s="20">
        <v>1667.43</v>
      </c>
      <c r="L146" t="n" s="21">
        <v>0.3072</v>
      </c>
      <c r="M146" t="n" s="19">
        <v>0</v>
      </c>
    </row>
    <row r="147" hidden="0" ht="15" customHeight="1" spans="1:1">
      <c r="A147" t="str" s="17">
        <f>HYPERLINK("https://amazon.com/dp/B0G83J1Y9M", "B0G83J1Y9M")</f>
      </c>
      <c r="B147" t="s">
        <v>161</v>
      </c>
      <c r="C147" t="s">
        <v>45</v>
      </c>
      <c r="D147" t="n" s="18">
        <v>17777.17</v>
      </c>
      <c r="E147" t="n" s="19">
        <v>15</v>
      </c>
      <c r="F147" t="n" s="20">
        <v>1196.25</v>
      </c>
      <c r="G147" t="n" s="19">
        <v>172</v>
      </c>
      <c r="H147" t="n" s="21">
        <v>0.0867</v>
      </c>
      <c r="I147" t="n" s="18">
        <v>16444.33</v>
      </c>
      <c r="J147" t="n" s="18">
        <v>166.64</v>
      </c>
      <c r="K147" t="n" s="20">
        <v>1096.29</v>
      </c>
      <c r="L147" t="n" s="21">
        <v>0.2347</v>
      </c>
      <c r="M147" t="n" s="19">
        <v>0</v>
      </c>
    </row>
    <row r="148" hidden="0" ht="15" customHeight="1" spans="1:1">
      <c r="A148" t="str" s="17">
        <f>HYPERLINK("https://amazon.com/dp/B0FGXQQMKW", "B0FGXQQMKW")</f>
      </c>
      <c r="B148" t="s">
        <v>162</v>
      </c>
      <c r="C148" t="s">
        <v>15</v>
      </c>
      <c r="D148" t="n" s="18">
        <v>17693.55</v>
      </c>
      <c r="E148" t="n" s="19">
        <v>3</v>
      </c>
      <c r="F148" t="n" s="20">
        <v>5897.85</v>
      </c>
      <c r="G148" t="n" s="19">
        <v>635</v>
      </c>
      <c r="H148" t="n" s="21">
        <v>0.0038</v>
      </c>
      <c r="I148" t="n" s="18">
        <v>18824.46</v>
      </c>
      <c r="J148" t="n" s="18">
        <v>0</v>
      </c>
      <c r="K148" t="n" s="20">
        <v>6274.82</v>
      </c>
      <c r="L148" t="n" s="21">
        <v>0.1491</v>
      </c>
      <c r="M148" t="n" s="19">
        <v>4</v>
      </c>
    </row>
    <row r="149" hidden="0" ht="15" customHeight="1" spans="1:1">
      <c r="A149" t="str" s="17">
        <f>HYPERLINK("https://amazon.com/dp/B07M69276N", "B07M69276N")</f>
      </c>
      <c r="B149" t="s">
        <v>163</v>
      </c>
      <c r="C149" t="s">
        <v>15</v>
      </c>
      <c r="D149" t="n" s="18">
        <v>17671.17</v>
      </c>
      <c r="E149" t="n" s="19">
        <v>25</v>
      </c>
      <c r="F149" t="n" s="20">
        <v>692.59</v>
      </c>
      <c r="G149" t="n" s="19">
        <v>516</v>
      </c>
      <c r="H149" t="n" s="21">
        <v>0.0489</v>
      </c>
      <c r="I149" t="n" s="18">
        <v>16694</v>
      </c>
      <c r="J149" t="n" s="18">
        <v>387.77</v>
      </c>
      <c r="K149" t="n" s="20">
        <v>667.76</v>
      </c>
      <c r="L149" t="n" s="21">
        <v>0.1677</v>
      </c>
      <c r="M149" t="n" s="19">
        <v>1</v>
      </c>
    </row>
    <row r="150" hidden="0" ht="15" customHeight="1" spans="1:1">
      <c r="A150" t="str" s="17">
        <f>HYPERLINK("https://amazon.com/dp/B0BHW6BX7Y", "B0BHW6BX7Y")</f>
      </c>
      <c r="B150" t="s">
        <v>164</v>
      </c>
      <c r="C150" t="s">
        <v>15</v>
      </c>
      <c r="D150" t="n" s="18">
        <v>17277.34</v>
      </c>
      <c r="E150" t="n" s="19">
        <v>20</v>
      </c>
      <c r="F150" t="n" s="20">
        <v>863.76</v>
      </c>
      <c r="G150" t="n" s="19">
        <v>471</v>
      </c>
      <c r="H150" t="n" s="21">
        <v>0.039900000000000005</v>
      </c>
      <c r="I150" t="n" s="18">
        <v>15012.16</v>
      </c>
      <c r="J150" t="n" s="18">
        <v>0</v>
      </c>
      <c r="K150" t="n" s="20">
        <v>750.61</v>
      </c>
      <c r="L150" t="n" s="21">
        <v>0.28309999999999996</v>
      </c>
      <c r="M150" t="n" s="19">
        <v>0</v>
      </c>
    </row>
    <row r="151" hidden="0" ht="15" customHeight="1" spans="1:1">
      <c r="A151" t="str" s="17">
        <f>HYPERLINK("https://amazon.com/dp/B0BDXQBKQQ", "B0BDXQBKQQ")</f>
      </c>
      <c r="B151" t="s">
        <v>165</v>
      </c>
      <c r="C151" t="s">
        <v>22</v>
      </c>
      <c r="D151" t="n" s="18">
        <v>17269.42</v>
      </c>
      <c r="E151" t="n" s="19">
        <v>25</v>
      </c>
      <c r="F151" t="n" s="20">
        <v>651.18</v>
      </c>
      <c r="G151" t="n" s="19">
        <v>980</v>
      </c>
      <c r="H151" t="n" s="21">
        <v>0.0248</v>
      </c>
      <c r="I151" t="n" s="18">
        <v>15118.63</v>
      </c>
      <c r="J151" t="n" s="18">
        <v>317.56</v>
      </c>
      <c r="K151" t="n" s="20">
        <v>604.75</v>
      </c>
      <c r="L151" t="n" s="21">
        <v>0.2143</v>
      </c>
      <c r="M151" t="n" s="19">
        <v>0</v>
      </c>
    </row>
    <row r="152" hidden="0" ht="15" customHeight="1" spans="1:1">
      <c r="A152" t="str" s="17">
        <f>HYPERLINK("https://amazon.com/dp/B07VC41CXJ", "B07VC41CXJ")</f>
      </c>
      <c r="B152" t="s">
        <v>166</v>
      </c>
      <c r="C152" t="s">
        <v>15</v>
      </c>
      <c r="D152" t="n" s="18">
        <v>17239.36</v>
      </c>
      <c r="E152" t="n" s="19">
        <v>24</v>
      </c>
      <c r="F152" t="n" s="20">
        <v>645.35</v>
      </c>
      <c r="G152" t="n" s="19">
        <v>234</v>
      </c>
      <c r="H152" t="n" s="21">
        <v>0.0604</v>
      </c>
      <c r="I152" t="n" s="18">
        <v>15771.4</v>
      </c>
      <c r="J152" t="n" s="18">
        <v>209</v>
      </c>
      <c r="K152" t="n" s="20">
        <v>657.14</v>
      </c>
      <c r="L152" t="n" s="21">
        <v>0.1244</v>
      </c>
      <c r="M152" t="n" s="19">
        <v>0</v>
      </c>
    </row>
    <row r="153" hidden="0" ht="15" customHeight="1" spans="1:1">
      <c r="A153" t="str" s="17">
        <f>HYPERLINK("https://amazon.com/dp/B008IFXQFU", "B008IFXQFU")</f>
      </c>
      <c r="B153" t="s">
        <v>167</v>
      </c>
      <c r="C153" t="s">
        <v>15</v>
      </c>
      <c r="D153" t="n" s="18">
        <v>16733.6</v>
      </c>
      <c r="E153" t="n" s="19">
        <v>59</v>
      </c>
      <c r="F153" t="n" s="20">
        <v>280.71</v>
      </c>
      <c r="G153" t="n" s="19">
        <v>676</v>
      </c>
      <c r="H153" t="n" s="21">
        <v>0.0882</v>
      </c>
      <c r="I153" t="n" s="18">
        <v>16284.38</v>
      </c>
      <c r="J153" t="n" s="18">
        <v>280.22</v>
      </c>
      <c r="K153" t="n" s="20">
        <v>276.01</v>
      </c>
      <c r="L153" t="n" s="21">
        <v>0.1572</v>
      </c>
      <c r="M153" t="n" s="19">
        <v>3</v>
      </c>
    </row>
    <row r="154" hidden="0" ht="15" customHeight="1" spans="1:1">
      <c r="A154" t="str" s="17">
        <f>HYPERLINK("https://amazon.com/dp/B0BSFFJN93", "B0BSFFJN93")</f>
      </c>
      <c r="B154" t="s">
        <v>168</v>
      </c>
      <c r="C154" t="s">
        <v>15</v>
      </c>
      <c r="D154" t="n" s="18">
        <v>16669.24</v>
      </c>
      <c r="E154" t="n" s="19">
        <v>6</v>
      </c>
      <c r="F154" t="n" s="20">
        <v>2795.08</v>
      </c>
      <c r="G154" t="n" s="19">
        <v>304</v>
      </c>
      <c r="H154" t="n" s="21">
        <v>0.0105</v>
      </c>
      <c r="I154" t="n" s="18">
        <v>22718.89</v>
      </c>
      <c r="J154" t="n" s="18">
        <v>104.17</v>
      </c>
      <c r="K154" t="n" s="20">
        <v>3786.48</v>
      </c>
      <c r="L154" t="n" s="21">
        <v>-0.0789</v>
      </c>
      <c r="M154" t="n" s="19">
        <v>0</v>
      </c>
    </row>
    <row r="155" hidden="0" ht="15" customHeight="1" spans="1:1">
      <c r="A155" t="str" s="17">
        <f>HYPERLINK("https://amazon.com/dp/B071RSD473", "B071RSD473")</f>
      </c>
      <c r="B155" t="s">
        <v>169</v>
      </c>
      <c r="C155" t="s">
        <v>15</v>
      </c>
      <c r="D155" t="n" s="18">
        <v>16491.48</v>
      </c>
      <c r="E155" t="n" s="19">
        <v>15</v>
      </c>
      <c r="F155" t="n" s="20">
        <v>1042.81</v>
      </c>
      <c r="G155" t="n" s="19">
        <v>394</v>
      </c>
      <c r="H155" t="n" s="21">
        <v>0.0256</v>
      </c>
      <c r="I155" t="n" s="18">
        <v>16566.69</v>
      </c>
      <c r="J155" t="n" s="18">
        <v>124.98</v>
      </c>
      <c r="K155" t="n" s="20">
        <v>1104.45</v>
      </c>
      <c r="L155" t="n" s="21">
        <v>0.1292</v>
      </c>
      <c r="M155" t="n" s="19">
        <v>1</v>
      </c>
    </row>
    <row r="156" hidden="0" ht="15" customHeight="1" spans="1:1">
      <c r="A156" t="str" s="17">
        <f>HYPERLINK("https://amazon.com/dp/B003CFATNI", "B003CFATNI")</f>
      </c>
      <c r="B156" t="s">
        <v>170</v>
      </c>
      <c r="C156" t="s">
        <v>15</v>
      </c>
      <c r="D156" t="n" s="18">
        <v>16152.83</v>
      </c>
      <c r="E156" t="n" s="19">
        <v>32</v>
      </c>
      <c r="F156" t="n" s="20">
        <v>513.53</v>
      </c>
      <c r="G156" t="n" s="19">
        <v>455</v>
      </c>
      <c r="H156" t="n" s="21">
        <v>0.069</v>
      </c>
      <c r="I156" t="n" s="18">
        <v>15023.04</v>
      </c>
      <c r="J156" t="n" s="18">
        <v>159.01</v>
      </c>
      <c r="K156" t="n" s="20">
        <v>469.47</v>
      </c>
      <c r="L156" t="n" s="21">
        <v>0.2361</v>
      </c>
      <c r="M156" t="n" s="19">
        <v>2</v>
      </c>
    </row>
    <row r="157" hidden="0" ht="15" customHeight="1" spans="1:1">
      <c r="A157" t="str" s="17">
        <f>HYPERLINK("https://amazon.com/dp/B0CS4CN5C2", "B0CS4CN5C2")</f>
      </c>
      <c r="B157" t="s">
        <v>171</v>
      </c>
      <c r="C157" t="s">
        <v>45</v>
      </c>
      <c r="D157" t="n" s="18">
        <v>15911.43</v>
      </c>
      <c r="E157" t="n" s="19">
        <v>14</v>
      </c>
      <c r="F157" t="n" s="20">
        <v>1138.13</v>
      </c>
      <c r="G157" t="n" s="19">
        <v>309</v>
      </c>
      <c r="H157" t="n" s="21">
        <v>0.0364</v>
      </c>
      <c r="I157" t="n" s="18">
        <v>15363.78</v>
      </c>
      <c r="J157" t="n" s="18">
        <v>125</v>
      </c>
      <c r="K157" t="n" s="20">
        <v>1097.41</v>
      </c>
      <c r="L157" t="n" s="21">
        <v>0.1967</v>
      </c>
      <c r="M157" t="n" s="19">
        <v>3</v>
      </c>
    </row>
    <row r="158" hidden="0" ht="15" customHeight="1" spans="1:1">
      <c r="A158" t="str" s="17">
        <f>HYPERLINK("https://amazon.com/dp/B07WRQ9S1B", "B07WRQ9S1B")</f>
      </c>
      <c r="B158" t="s">
        <v>172</v>
      </c>
      <c r="C158" t="s">
        <v>15</v>
      </c>
      <c r="D158" t="n" s="18">
        <v>15906.49</v>
      </c>
      <c r="E158" t="n" s="19">
        <v>8</v>
      </c>
      <c r="F158" t="n" s="20">
        <v>1988.31</v>
      </c>
      <c r="G158" t="n" s="19">
        <v>600</v>
      </c>
      <c r="H158" t="n" s="21">
        <v>0.012199999999999999</v>
      </c>
      <c r="I158" t="n" s="18">
        <v>14370.12</v>
      </c>
      <c r="J158" t="n" s="18">
        <v>0</v>
      </c>
      <c r="K158" t="n" s="20">
        <v>1796.26</v>
      </c>
      <c r="L158" t="n" s="21">
        <v>0.24109999999999998</v>
      </c>
      <c r="M158" t="n" s="19">
        <v>5</v>
      </c>
    </row>
    <row r="159" hidden="0" ht="15" customHeight="1" spans="1:1">
      <c r="A159" t="str" s="17">
        <f>HYPERLINK("https://amazon.com/dp/B075DDZF4R", "B075DDZF4R")</f>
      </c>
      <c r="B159" t="s">
        <v>173</v>
      </c>
      <c r="C159" t="s">
        <v>15</v>
      </c>
      <c r="D159" t="n" s="18">
        <v>15596.57</v>
      </c>
      <c r="E159" t="n" s="19">
        <v>32</v>
      </c>
      <c r="F159" t="n" s="20">
        <v>469.54</v>
      </c>
      <c r="G159" t="n" s="19">
        <v>360</v>
      </c>
      <c r="H159" t="n" s="21">
        <v>0.07690000000000001</v>
      </c>
      <c r="I159" t="n" s="18">
        <v>15305.26</v>
      </c>
      <c r="J159" t="n" s="18">
        <v>433.97</v>
      </c>
      <c r="K159" t="n" s="20">
        <v>478.29</v>
      </c>
      <c r="L159" t="n" s="21">
        <v>0.1155</v>
      </c>
      <c r="M159" t="n" s="19">
        <v>0</v>
      </c>
    </row>
    <row r="160" hidden="0" ht="15" customHeight="1" spans="1:1">
      <c r="A160" t="str" s="17">
        <f>HYPERLINK("https://amazon.com/dp/B0BXH28CND", "B0BXH28CND")</f>
      </c>
      <c r="B160" t="s">
        <v>174</v>
      </c>
      <c r="C160" t="s">
        <v>15</v>
      </c>
      <c r="D160" t="n" s="18">
        <v>15230.83</v>
      </c>
      <c r="E160" t="n" s="19">
        <v>12</v>
      </c>
      <c r="F160" t="n" s="20">
        <v>1183.28</v>
      </c>
      <c r="G160" t="n" s="19">
        <v>250</v>
      </c>
      <c r="H160" t="n" s="21">
        <v>0.0286</v>
      </c>
      <c r="I160" t="n" s="18">
        <v>14806.24</v>
      </c>
      <c r="J160" t="n" s="18">
        <v>83.33</v>
      </c>
      <c r="K160" t="n" s="20">
        <v>1233.85</v>
      </c>
      <c r="L160" t="n" s="21">
        <v>0.13390000000000002</v>
      </c>
      <c r="M160" t="n" s="19">
        <v>2</v>
      </c>
    </row>
    <row r="161" hidden="0" ht="15" customHeight="1" spans="1:1">
      <c r="A161" t="str" s="17">
        <f>HYPERLINK("https://amazon.com/dp/B0CJCJ62RH", "B0CJCJ62RH")</f>
      </c>
      <c r="B161" t="s">
        <v>175</v>
      </c>
      <c r="C161" t="s">
        <v>15</v>
      </c>
      <c r="D161" t="n" s="18">
        <v>14952.16</v>
      </c>
      <c r="E161" t="n" s="19">
        <v>3</v>
      </c>
      <c r="F161" t="n" s="20">
        <v>4984.05</v>
      </c>
      <c r="G161" t="n" s="19">
        <v>532</v>
      </c>
      <c r="H161" t="n" s="21">
        <v>0.0055000000000000005</v>
      </c>
      <c r="I161" t="n" s="18">
        <v>13987.41</v>
      </c>
      <c r="J161" t="n" s="18">
        <v>0</v>
      </c>
      <c r="K161" t="n" s="20">
        <v>4662.47</v>
      </c>
      <c r="L161" t="n" s="21">
        <v>0.22820000000000001</v>
      </c>
      <c r="M161" t="n" s="19">
        <v>3</v>
      </c>
    </row>
    <row r="162" hidden="0" ht="15" customHeight="1" spans="1:1">
      <c r="A162" t="str" s="17">
        <f>HYPERLINK("https://amazon.com/dp/B07HWKWH54", "B07HWKWH54")</f>
      </c>
      <c r="B162" t="s">
        <v>176</v>
      </c>
      <c r="C162" t="s">
        <v>15</v>
      </c>
      <c r="D162" t="n" s="18">
        <v>14679.26</v>
      </c>
      <c r="E162" t="n" s="19">
        <v>8</v>
      </c>
      <c r="F162" t="n" s="20">
        <v>1834.91</v>
      </c>
      <c r="G162" t="n" s="19">
        <v>144</v>
      </c>
      <c r="H162" t="n" s="21">
        <v>0.0533</v>
      </c>
      <c r="I162" t="n" s="18">
        <v>12334.34</v>
      </c>
      <c r="J162" t="n" s="18">
        <v>0</v>
      </c>
      <c r="K162" t="n" s="20">
        <v>1541.79</v>
      </c>
      <c r="L162" t="n" s="21">
        <v>0.2942</v>
      </c>
      <c r="M162" t="n" s="19">
        <v>0</v>
      </c>
    </row>
    <row r="163" hidden="0" ht="15" customHeight="1" spans="1:1">
      <c r="A163" t="str" s="17">
        <f>HYPERLINK("https://amazon.com/dp/B0DCZVTZ2P", "B0DCZVTZ2P")</f>
      </c>
      <c r="B163" t="s">
        <v>177</v>
      </c>
      <c r="C163" t="s">
        <v>15</v>
      </c>
      <c r="D163" t="n" s="18">
        <v>13982.01</v>
      </c>
      <c r="E163" t="n" s="19">
        <v>10</v>
      </c>
      <c r="F163" t="n" s="20">
        <v>1419.03</v>
      </c>
      <c r="G163" t="n" s="19">
        <v>190</v>
      </c>
      <c r="H163" t="n" s="21">
        <v>0.045899999999999996</v>
      </c>
      <c r="I163" t="n" s="18">
        <v>17586.5</v>
      </c>
      <c r="J163" t="n" s="18">
        <v>208.3</v>
      </c>
      <c r="K163" t="n" s="20">
        <v>1758.65</v>
      </c>
      <c r="L163" t="n" s="21">
        <v>0.1968</v>
      </c>
      <c r="M163" t="n" s="19">
        <v>0</v>
      </c>
    </row>
    <row r="164" hidden="0" ht="15" customHeight="1" spans="1:1">
      <c r="A164" t="str" s="17">
        <f>HYPERLINK("https://amazon.com/dp/B0BGJJWPWC", "B0BGJJWPWC")</f>
      </c>
      <c r="B164" t="s">
        <v>178</v>
      </c>
      <c r="C164" t="s">
        <v>15</v>
      </c>
      <c r="D164" t="n" s="18">
        <v>13810.82</v>
      </c>
      <c r="E164" t="n" s="19">
        <v>5</v>
      </c>
      <c r="F164" t="n" s="20">
        <v>2762.16</v>
      </c>
      <c r="G164" t="n" s="19">
        <v>156</v>
      </c>
      <c r="H164" t="n" s="21">
        <v>0.0321</v>
      </c>
      <c r="I164" t="n" s="18">
        <v>12143.3</v>
      </c>
      <c r="J164" t="n" s="18">
        <v>0</v>
      </c>
      <c r="K164" t="n" s="20">
        <v>2428.66</v>
      </c>
      <c r="L164" t="n" s="21">
        <v>0.2051</v>
      </c>
      <c r="M164" t="n" s="19">
        <v>0</v>
      </c>
    </row>
    <row r="165" hidden="0" ht="15" customHeight="1" spans="1:1">
      <c r="A165" t="str" s="17">
        <f>HYPERLINK("https://amazon.com/dp/B0DCZWQQW8", "B0DCZWQQW8")</f>
      </c>
      <c r="B165" t="s">
        <v>179</v>
      </c>
      <c r="C165" t="s">
        <v>15</v>
      </c>
      <c r="D165" t="n" s="18">
        <v>13426.04</v>
      </c>
      <c r="E165" t="n" s="19">
        <v>3</v>
      </c>
      <c r="F165" t="n" s="20">
        <v>4475.35</v>
      </c>
      <c r="G165" t="n" s="19">
        <v>330</v>
      </c>
      <c r="H165" t="n" s="21">
        <v>0.0088</v>
      </c>
      <c r="I165" t="n" s="18">
        <v>10794.66</v>
      </c>
      <c r="J165" t="n" s="18">
        <v>0</v>
      </c>
      <c r="K165" t="n" s="20">
        <v>3598.22</v>
      </c>
      <c r="L165" t="n" s="21">
        <v>0.3246</v>
      </c>
      <c r="M165" t="n" s="19">
        <v>0</v>
      </c>
    </row>
    <row r="166" hidden="0" ht="15" customHeight="1" spans="1:1">
      <c r="A166" t="str" s="17">
        <f>HYPERLINK("https://amazon.com/dp/B08W4RMZ8T", "B08W4RMZ8T")</f>
      </c>
      <c r="B166" t="s">
        <v>180</v>
      </c>
      <c r="C166" t="s">
        <v>15</v>
      </c>
      <c r="D166" t="n" s="18">
        <v>13386.02</v>
      </c>
      <c r="E166" t="n" s="19">
        <v>3</v>
      </c>
      <c r="F166" t="n" s="20">
        <v>4462.01</v>
      </c>
      <c r="G166" t="n" s="19">
        <v>94</v>
      </c>
      <c r="H166" t="n" s="21">
        <v>0.0207</v>
      </c>
      <c r="I166" t="n" s="18">
        <v>12031.95</v>
      </c>
      <c r="J166" t="n" s="18">
        <v>0</v>
      </c>
      <c r="K166" t="n" s="20">
        <v>4010.65</v>
      </c>
      <c r="L166" t="n" s="21">
        <v>0.2585</v>
      </c>
      <c r="M166" t="n" s="19">
        <v>0</v>
      </c>
    </row>
    <row r="167" hidden="0" ht="15" customHeight="1" spans="1:1">
      <c r="A167" t="str" s="17">
        <f>HYPERLINK("https://amazon.com/dp/B0CKXSYYH2", "B0CKXSYYH2")</f>
      </c>
      <c r="B167" t="s">
        <v>181</v>
      </c>
      <c r="C167" t="s">
        <v>22</v>
      </c>
      <c r="D167" t="n" s="18">
        <v>12594.11</v>
      </c>
      <c r="E167" t="n" s="19">
        <v>12</v>
      </c>
      <c r="F167" t="n" s="20">
        <v>740.83</v>
      </c>
      <c r="G167" t="n" s="19">
        <v>201</v>
      </c>
      <c r="H167" t="n" s="21">
        <v>0.0085</v>
      </c>
      <c r="I167" t="n" s="18">
        <v>6669.96</v>
      </c>
      <c r="J167" t="n" s="18">
        <v>0</v>
      </c>
      <c r="K167" t="n" s="20">
        <v>555.83</v>
      </c>
      <c r="L167" t="n" s="21">
        <v>0.4524</v>
      </c>
      <c r="M167" t="n" s="19">
        <v>0</v>
      </c>
    </row>
    <row r="168" hidden="0" ht="15" customHeight="1" spans="1:1">
      <c r="A168" t="str" s="17">
        <f>HYPERLINK("https://amazon.com/dp/B00N1Q7W8I", "B00N1Q7W8I")</f>
      </c>
      <c r="B168" t="s">
        <v>182</v>
      </c>
      <c r="C168" t="s">
        <v>15</v>
      </c>
      <c r="D168" t="n" s="18">
        <v>12356.65</v>
      </c>
      <c r="E168" t="n" s="19">
        <v>6</v>
      </c>
      <c r="F168" t="n" s="20">
        <v>2073.33</v>
      </c>
      <c r="G168" t="n" s="19">
        <v>163</v>
      </c>
      <c r="H168" t="n" s="21">
        <v>0.0223</v>
      </c>
      <c r="I168" t="n" s="18">
        <v>11762.65</v>
      </c>
      <c r="J168" t="n" s="18">
        <v>83.33</v>
      </c>
      <c r="K168" t="n" s="20">
        <v>1960.44</v>
      </c>
      <c r="L168" t="n" s="21">
        <v>0.19899999999999998</v>
      </c>
      <c r="M168" t="n" s="19">
        <v>0</v>
      </c>
    </row>
    <row r="169" hidden="0" ht="15" customHeight="1" spans="1:1">
      <c r="A169" t="str" s="17">
        <f>HYPERLINK("https://amazon.com/dp/B0F8B3Y9TS", "B0F8B3Y9TS")</f>
      </c>
      <c r="B169" t="s">
        <v>183</v>
      </c>
      <c r="C169" t="s">
        <v>15</v>
      </c>
      <c r="D169" t="n" s="18">
        <v>12205.22</v>
      </c>
      <c r="E169" t="n" s="19">
        <v>2</v>
      </c>
      <c r="F169" t="n" s="20">
        <v>6102.61</v>
      </c>
      <c r="G169" t="n" s="19">
        <v>14</v>
      </c>
      <c r="H169" t="n" s="21">
        <v>0.0111</v>
      </c>
      <c r="I169" t="n" s="18">
        <v>11118.68</v>
      </c>
      <c r="J169" t="n" s="18">
        <v>0</v>
      </c>
      <c r="K169" t="n" s="20">
        <v>5559.34</v>
      </c>
      <c r="L169" t="n" s="21">
        <v>0.2484</v>
      </c>
      <c r="M169" t="n" s="19">
        <v>0</v>
      </c>
    </row>
    <row r="170" hidden="0" ht="15" customHeight="1" spans="1:1">
      <c r="A170" t="str" s="17">
        <f>HYPERLINK("https://amazon.com/dp/B07CF4CDNM", "B07CF4CDNM")</f>
      </c>
      <c r="B170" t="s">
        <v>184</v>
      </c>
      <c r="C170" t="s">
        <v>15</v>
      </c>
      <c r="D170" t="n" s="18">
        <v>11700.58</v>
      </c>
      <c r="E170" t="n" s="19">
        <v>14</v>
      </c>
      <c r="F170" t="n" s="20">
        <v>790.99</v>
      </c>
      <c r="G170" t="n" s="19">
        <v>315</v>
      </c>
      <c r="H170" t="n" s="21">
        <v>0.025699999999999997</v>
      </c>
      <c r="I170" t="n" s="18">
        <v>11237.1</v>
      </c>
      <c r="J170" t="n" s="18">
        <v>242.33</v>
      </c>
      <c r="K170" t="n" s="20">
        <v>802.65</v>
      </c>
      <c r="L170" t="n" s="21">
        <v>0.141</v>
      </c>
      <c r="M170" t="n" s="19">
        <v>1</v>
      </c>
    </row>
    <row r="171" hidden="0" ht="15" customHeight="1" spans="1:1">
      <c r="A171" t="str" s="17">
        <f>HYPERLINK("https://amazon.com/dp/B017IGEPWW", "B017IGEPWW")</f>
      </c>
      <c r="B171" t="s">
        <v>185</v>
      </c>
      <c r="C171" t="s">
        <v>15</v>
      </c>
      <c r="D171" t="n" s="18">
        <v>11331.66</v>
      </c>
      <c r="E171" t="n" s="19">
        <v>3</v>
      </c>
      <c r="F171" t="n" s="20">
        <v>2265.5</v>
      </c>
      <c r="G171" t="n" s="19">
        <v>144</v>
      </c>
      <c r="H171" t="n" s="21">
        <v>0.0098</v>
      </c>
      <c r="I171" t="n" s="18">
        <v>7593.54</v>
      </c>
      <c r="J171" t="n" s="18">
        <v>0</v>
      </c>
      <c r="K171" t="n" s="20">
        <v>2531.18</v>
      </c>
      <c r="L171" t="n" s="21">
        <v>0.0783</v>
      </c>
      <c r="M171" t="n" s="19">
        <v>1</v>
      </c>
    </row>
    <row r="172" hidden="0" ht="15" customHeight="1" spans="1:1">
      <c r="A172" t="str" s="17">
        <f>HYPERLINK("https://amazon.com/dp/B0CC6NGXZT", "B0CC6NGXZT")</f>
      </c>
      <c r="B172" t="s">
        <v>186</v>
      </c>
      <c r="C172" t="s">
        <v>15</v>
      </c>
      <c r="D172" t="n" s="18">
        <v>11326.64</v>
      </c>
      <c r="E172" t="n" s="19">
        <v>8</v>
      </c>
      <c r="F172" t="n" s="20">
        <v>1415.83</v>
      </c>
      <c r="G172" t="n" s="19">
        <v>294</v>
      </c>
      <c r="H172" t="n" s="21">
        <v>0.0212</v>
      </c>
      <c r="I172" t="n" s="18">
        <v>23388</v>
      </c>
      <c r="J172" t="n" s="18">
        <v>0</v>
      </c>
      <c r="K172" t="n" s="20">
        <v>2923.5</v>
      </c>
      <c r="L172" t="n" s="21">
        <v>0.1852</v>
      </c>
      <c r="M172" t="n" s="19">
        <v>0</v>
      </c>
    </row>
    <row r="173" hidden="0" ht="15" customHeight="1" spans="1:1">
      <c r="A173" t="str" s="17">
        <f>HYPERLINK("https://amazon.com/dp/B0FGXYMJ6M", "B0FGXYMJ6M")</f>
      </c>
      <c r="B173" t="s">
        <v>187</v>
      </c>
      <c r="C173" t="s">
        <v>45</v>
      </c>
      <c r="D173" t="n" s="18">
        <v>11199.36</v>
      </c>
      <c r="E173" t="n" s="19">
        <v>2</v>
      </c>
      <c r="F173" t="n" s="20">
        <v>5599.68</v>
      </c>
      <c r="G173" t="n" s="19">
        <v>188</v>
      </c>
      <c r="H173" t="n" s="21">
        <v>0.0097</v>
      </c>
      <c r="I173" t="n" s="18">
        <v>15045.79</v>
      </c>
      <c r="J173" t="n" s="18">
        <v>0</v>
      </c>
      <c r="K173" t="n" s="20">
        <v>7522.89</v>
      </c>
      <c r="L173" t="n" s="21">
        <v>0.0241</v>
      </c>
      <c r="M173" t="n" s="19">
        <v>0</v>
      </c>
    </row>
    <row r="174" hidden="0" ht="15" customHeight="1" spans="1:1">
      <c r="A174" t="str" s="17">
        <f>HYPERLINK("https://amazon.com/dp/B08VH4Q3NR", "B08VH4Q3NR")</f>
      </c>
      <c r="B174" t="s">
        <v>188</v>
      </c>
      <c r="C174" t="s">
        <v>15</v>
      </c>
      <c r="D174" t="n" s="18">
        <v>11096.99</v>
      </c>
      <c r="E174" t="n" s="19">
        <v>6</v>
      </c>
      <c r="F174" t="n" s="20">
        <v>1856.44</v>
      </c>
      <c r="G174" t="n" s="19">
        <v>346</v>
      </c>
      <c r="H174" t="n" s="21">
        <v>0.0102</v>
      </c>
      <c r="I174" t="n" s="18">
        <v>10048.94</v>
      </c>
      <c r="J174" t="n" s="18">
        <v>41.66</v>
      </c>
      <c r="K174" t="n" s="20">
        <v>1674.82</v>
      </c>
      <c r="L174" t="n" s="21">
        <v>0.252</v>
      </c>
      <c r="M174" t="n" s="19">
        <v>0</v>
      </c>
    </row>
    <row r="175" hidden="0" ht="15" customHeight="1" spans="1:1">
      <c r="A175" t="str" s="17">
        <f>HYPERLINK("https://amazon.com/dp/B001GWSMVU", "B001GWSMVU")</f>
      </c>
      <c r="B175" t="s">
        <v>189</v>
      </c>
      <c r="C175" t="s">
        <v>15</v>
      </c>
      <c r="D175" t="n" s="18">
        <v>11083.9</v>
      </c>
      <c r="E175" t="n" s="19">
        <v>11</v>
      </c>
      <c r="F175" t="n" s="20">
        <v>1013.31</v>
      </c>
      <c r="G175" t="n" s="19">
        <v>209</v>
      </c>
      <c r="H175" t="n" s="21">
        <v>0.049800000000000004</v>
      </c>
      <c r="I175" t="n" s="18">
        <v>9374.53</v>
      </c>
      <c r="J175" t="n" s="18">
        <v>62.49</v>
      </c>
      <c r="K175" t="n" s="20">
        <v>852.23</v>
      </c>
      <c r="L175" t="n" s="21">
        <v>0.2879</v>
      </c>
      <c r="M175" t="n" s="19">
        <v>0</v>
      </c>
    </row>
    <row r="176" hidden="0" ht="15" customHeight="1" spans="1:1">
      <c r="A176" t="str" s="17">
        <f>HYPERLINK("https://amazon.com/dp/B0FMR8WHWB", "B0FMR8WHWB")</f>
      </c>
      <c r="B176" t="s">
        <v>190</v>
      </c>
      <c r="C176" t="s">
        <v>45</v>
      </c>
      <c r="D176" t="n" s="18">
        <v>11030.98</v>
      </c>
      <c r="E176" t="n" s="19">
        <v>12</v>
      </c>
      <c r="F176" t="n" s="20">
        <v>931.12</v>
      </c>
      <c r="G176" t="n" s="19">
        <v>300</v>
      </c>
      <c r="H176" t="n" s="21">
        <v>0.027000000000000003</v>
      </c>
      <c r="I176" t="n" s="18">
        <v>10160.04</v>
      </c>
      <c r="J176" t="n" s="18">
        <v>125</v>
      </c>
      <c r="K176" t="n" s="20">
        <v>846.67</v>
      </c>
      <c r="L176" t="n" s="21">
        <v>0.2386</v>
      </c>
      <c r="M176" t="n" s="19">
        <v>0</v>
      </c>
    </row>
    <row r="177" hidden="0" ht="15" customHeight="1" spans="1:1">
      <c r="A177" t="str" s="17">
        <f>HYPERLINK("https://amazon.com/dp/B0BQJVKVQR", "B0BQJVKVQR")</f>
      </c>
      <c r="B177" t="s">
        <v>191</v>
      </c>
      <c r="C177" t="s">
        <v>22</v>
      </c>
      <c r="D177" t="n" s="18">
        <v>10950.13</v>
      </c>
      <c r="E177" t="n" s="19">
        <v>7</v>
      </c>
      <c r="F177" t="n" s="20">
        <v>1557.17</v>
      </c>
      <c r="G177" t="n" s="19">
        <v>150</v>
      </c>
      <c r="H177" t="n" s="21">
        <v>0.003</v>
      </c>
      <c r="I177" t="n" s="18">
        <v>11849.52</v>
      </c>
      <c r="J177" t="n" s="18">
        <v>0</v>
      </c>
      <c r="K177" t="n" s="20">
        <v>1692.79</v>
      </c>
      <c r="L177" t="n" s="21">
        <v>0.2114</v>
      </c>
      <c r="M177" t="n" s="19">
        <v>2</v>
      </c>
    </row>
    <row r="178" hidden="0" ht="15" customHeight="1" spans="1:1">
      <c r="A178" t="str" s="17">
        <f>HYPERLINK("https://amazon.com/dp/980035980X", "980035980X")</f>
      </c>
      <c r="B178" t="s">
        <v>192</v>
      </c>
      <c r="C178" t="s">
        <v>15</v>
      </c>
      <c r="D178" t="n" s="18">
        <v>10940.38</v>
      </c>
      <c r="E178" t="n" s="19">
        <v>6</v>
      </c>
      <c r="F178" t="n" s="20">
        <v>2145.48</v>
      </c>
      <c r="G178" t="n" s="19">
        <v>98</v>
      </c>
      <c r="H178" t="n" s="21">
        <v>0.0331</v>
      </c>
      <c r="I178" t="n" s="18">
        <v>13495.79</v>
      </c>
      <c r="J178" t="n" s="18">
        <v>0</v>
      </c>
      <c r="K178" t="n" s="20">
        <v>2249.3</v>
      </c>
      <c r="L178" t="n" s="21">
        <v>0.1351</v>
      </c>
      <c r="M178" t="n" s="19">
        <v>0</v>
      </c>
    </row>
    <row r="179" hidden="0" ht="15" customHeight="1" spans="1:1">
      <c r="A179" t="str" s="17">
        <f>HYPERLINK("https://amazon.com/dp/B094DM9LZQ", "B094DM9LZQ")</f>
      </c>
      <c r="B179" t="s">
        <v>193</v>
      </c>
      <c r="C179" t="s">
        <v>22</v>
      </c>
      <c r="D179" t="n" s="18">
        <v>10915.1</v>
      </c>
      <c r="E179" t="n" s="19">
        <v>10</v>
      </c>
      <c r="F179" t="n" s="20">
        <v>1094.02</v>
      </c>
      <c r="G179" t="n" s="19">
        <v>355</v>
      </c>
      <c r="H179" t="n" s="21">
        <v>0.0167</v>
      </c>
      <c r="I179" t="n" s="18">
        <v>10585.17</v>
      </c>
      <c r="J179" t="n" s="18">
        <v>83.33</v>
      </c>
      <c r="K179" t="n" s="20">
        <v>1058.52</v>
      </c>
      <c r="L179" t="n" s="21">
        <v>0.1942</v>
      </c>
      <c r="M179" t="n" s="19">
        <v>0</v>
      </c>
    </row>
    <row r="180" hidden="0" ht="15" customHeight="1" spans="1:1">
      <c r="A180" t="str" s="17">
        <f>HYPERLINK("https://amazon.com/dp/B0DJSV2W43", "B0DJSV2W43")</f>
      </c>
      <c r="B180" t="s">
        <v>194</v>
      </c>
      <c r="C180" t="s">
        <v>15</v>
      </c>
      <c r="D180" t="n" s="18">
        <v>10877.59</v>
      </c>
      <c r="E180" t="n" s="19">
        <v>1</v>
      </c>
      <c r="F180" t="n" s="20">
        <v>10877.59</v>
      </c>
      <c r="G180" t="n" s="19">
        <v>1055</v>
      </c>
      <c r="H180" t="n" s="21">
        <v>0.0009</v>
      </c>
      <c r="I180" t="n" s="18">
        <v>10123.33</v>
      </c>
      <c r="J180" t="n" s="18">
        <v>0</v>
      </c>
      <c r="K180" t="n" s="20">
        <v>10123.33</v>
      </c>
      <c r="L180" t="n" s="21">
        <v>0.2322</v>
      </c>
      <c r="M180" t="n" s="19">
        <v>0</v>
      </c>
    </row>
    <row r="181" hidden="0" ht="15" customHeight="1" spans="1:1">
      <c r="A181" t="str" s="17">
        <f>HYPERLINK("https://amazon.com/dp/B0CS6WK6YL", "B0CS6WK6YL")</f>
      </c>
      <c r="B181" t="s">
        <v>195</v>
      </c>
      <c r="C181" t="s">
        <v>45</v>
      </c>
      <c r="D181" t="n" s="18">
        <v>10741.4</v>
      </c>
      <c r="E181" t="n" s="19">
        <v>23</v>
      </c>
      <c r="F181" t="n" s="20">
        <v>488.27</v>
      </c>
      <c r="G181" t="n" s="19">
        <v>280</v>
      </c>
      <c r="H181" t="n" s="21">
        <v>0.0799</v>
      </c>
      <c r="I181" t="n" s="18">
        <v>11346.17</v>
      </c>
      <c r="J181" t="n" s="18">
        <v>495.98</v>
      </c>
      <c r="K181" t="n" s="20">
        <v>493.31</v>
      </c>
      <c r="L181" t="n" s="21">
        <v>0.1223</v>
      </c>
      <c r="M181" t="n" s="19">
        <v>1</v>
      </c>
    </row>
    <row r="182" hidden="0" ht="15" customHeight="1" spans="1:1">
      <c r="A182" t="str" s="17">
        <f>HYPERLINK("https://amazon.com/dp/B0073RW6Q4", "B0073RW6Q4")</f>
      </c>
      <c r="B182" t="s">
        <v>196</v>
      </c>
      <c r="C182" t="s">
        <v>15</v>
      </c>
      <c r="D182" t="n" s="18">
        <v>10622.49</v>
      </c>
      <c r="E182" t="n" s="19">
        <v>3</v>
      </c>
      <c r="F182" t="n" s="20">
        <v>3540.83</v>
      </c>
      <c r="G182" t="n" s="19">
        <v>55</v>
      </c>
      <c r="H182" t="n" s="21">
        <v>0.0462</v>
      </c>
      <c r="I182" t="n" s="18">
        <v>12060.48</v>
      </c>
      <c r="J182" t="n" s="18">
        <v>0</v>
      </c>
      <c r="K182" t="n" s="20">
        <v>4020.16</v>
      </c>
      <c r="L182" t="n" s="21">
        <v>0.0633</v>
      </c>
      <c r="M182" t="n" s="19">
        <v>0</v>
      </c>
    </row>
    <row r="183" hidden="0" ht="15" customHeight="1" spans="1:1">
      <c r="A183" t="str" s="17">
        <f>HYPERLINK("https://amazon.com/dp/B0064GOQ5O", "B0064GOQ5O")</f>
      </c>
      <c r="B183" t="s">
        <v>197</v>
      </c>
      <c r="C183" t="s">
        <v>15</v>
      </c>
      <c r="D183" t="n" s="18">
        <v>10600.85</v>
      </c>
      <c r="E183" t="n" s="19">
        <v>7</v>
      </c>
      <c r="F183" t="n" s="20">
        <v>1514.41</v>
      </c>
      <c r="G183" t="n" s="19">
        <v>162</v>
      </c>
      <c r="H183" t="n" s="21">
        <v>0.0409</v>
      </c>
      <c r="I183" t="n" s="18">
        <v>10491.94</v>
      </c>
      <c r="J183" t="n" s="18">
        <v>0</v>
      </c>
      <c r="K183" t="n" s="20">
        <v>1498.85</v>
      </c>
      <c r="L183" t="n" s="21">
        <v>0.1686</v>
      </c>
      <c r="M183" t="n" s="19">
        <v>0</v>
      </c>
    </row>
    <row r="184" hidden="0" ht="15" customHeight="1" spans="1:1">
      <c r="A184" t="str" s="17">
        <f>HYPERLINK("https://amazon.com/dp/B098TVZ6TS", "B098TVZ6TS")</f>
      </c>
      <c r="B184" t="s">
        <v>198</v>
      </c>
      <c r="C184" t="s">
        <v>22</v>
      </c>
      <c r="D184" t="n" s="18">
        <v>10390.02</v>
      </c>
      <c r="E184" t="n" s="19">
        <v>7</v>
      </c>
      <c r="F184" t="n" s="20">
        <v>1493.22</v>
      </c>
      <c r="G184" t="n" s="19">
        <v>98</v>
      </c>
      <c r="H184" t="n" s="21">
        <v>0.0055000000000000005</v>
      </c>
      <c r="I184" t="n" s="18">
        <v>13082.58</v>
      </c>
      <c r="J184" t="n" s="18">
        <v>62.49</v>
      </c>
      <c r="K184" t="n" s="20">
        <v>1868.94</v>
      </c>
      <c r="L184" t="n" s="21">
        <v>-0.038599999999999995</v>
      </c>
      <c r="M184" t="n" s="19">
        <v>3</v>
      </c>
    </row>
    <row r="185" hidden="0" ht="15" customHeight="1" spans="1:1">
      <c r="A185" t="str" s="17">
        <f>HYPERLINK("https://amazon.com/dp/B0GVFHFB8P", "B0GVFHFB8P")</f>
      </c>
      <c r="B185" t="s">
        <v>199</v>
      </c>
      <c r="C185" t="s">
        <v>22</v>
      </c>
      <c r="D185" t="n" s="18">
        <v>10250.5</v>
      </c>
      <c r="E185" t="n" s="19">
        <v>2</v>
      </c>
      <c r="F185" t="n" s="20">
        <v>5125.25</v>
      </c>
      <c r="G185" t="n" s="19">
        <v>320</v>
      </c>
      <c r="H185" t="n" s="21">
        <v>0.004</v>
      </c>
      <c r="I185" t="n" s="18">
        <v>9590</v>
      </c>
      <c r="J185" t="n" s="18">
        <v>0</v>
      </c>
      <c r="K185" t="n" s="20">
        <v>4795</v>
      </c>
      <c r="L185" t="n" s="21">
        <v>0.22820000000000001</v>
      </c>
      <c r="M185" t="n" s="19">
        <v>0</v>
      </c>
    </row>
    <row r="186" hidden="0" ht="15" customHeight="1" spans="1:1">
      <c r="A186" t="str" s="17">
        <f>HYPERLINK("https://amazon.com/dp/B0873SLW3V", "B0873SLW3V")</f>
      </c>
      <c r="B186" t="s">
        <v>200</v>
      </c>
      <c r="C186" t="s">
        <v>15</v>
      </c>
      <c r="D186" t="n" s="18">
        <v>10174.04</v>
      </c>
      <c r="E186" t="n" s="19">
        <v>14</v>
      </c>
      <c r="F186" t="n" s="20">
        <v>728.31</v>
      </c>
      <c r="G186" t="n" s="19">
        <v>320</v>
      </c>
      <c r="H186" t="n" s="21">
        <v>0.0432</v>
      </c>
      <c r="I186" t="n" s="18">
        <v>10053.91</v>
      </c>
      <c r="J186" t="n" s="18">
        <v>104.15</v>
      </c>
      <c r="K186" t="n" s="20">
        <v>718.14</v>
      </c>
      <c r="L186" t="n" s="21">
        <v>0.16149999999999998</v>
      </c>
      <c r="M186" t="n" s="19">
        <v>2</v>
      </c>
    </row>
    <row r="187" hidden="0" ht="15" customHeight="1" spans="1:1">
      <c r="A187" t="str" s="17">
        <f>HYPERLINK("https://amazon.com/dp/B09SGJRKBW", "B09SGJRKBW")</f>
      </c>
      <c r="B187" t="s">
        <v>201</v>
      </c>
      <c r="C187" t="s">
        <v>15</v>
      </c>
      <c r="D187" t="n" s="18">
        <v>10163.19</v>
      </c>
      <c r="E187" t="n" s="19">
        <v>16</v>
      </c>
      <c r="F187" t="n" s="20">
        <v>632.54</v>
      </c>
      <c r="G187" t="n" s="19">
        <v>259</v>
      </c>
      <c r="H187" t="n" s="21">
        <v>0.0613</v>
      </c>
      <c r="I187" t="n" s="18">
        <v>10121.7</v>
      </c>
      <c r="J187" t="n" s="18">
        <v>19.98</v>
      </c>
      <c r="K187" t="n" s="20">
        <v>632.61</v>
      </c>
      <c r="L187" t="n" s="21">
        <v>0.15789999999999998</v>
      </c>
      <c r="M187" t="n" s="19">
        <v>2</v>
      </c>
    </row>
    <row r="188" hidden="0" ht="15" customHeight="1" spans="1:1">
      <c r="A188" t="str" s="17">
        <f>HYPERLINK("https://amazon.com/dp/B0BJQVQ49Q", "B0BJQVQ49Q")</f>
      </c>
      <c r="B188" t="s">
        <v>202</v>
      </c>
      <c r="C188" t="s">
        <v>22</v>
      </c>
      <c r="D188" t="n" s="18">
        <v>10154.26</v>
      </c>
      <c r="E188" t="n" s="19">
        <v>13</v>
      </c>
      <c r="F188" t="n" s="20">
        <v>790.19</v>
      </c>
      <c r="G188" t="n" s="19">
        <v>872</v>
      </c>
      <c r="H188" t="n" s="21">
        <v>0.0106</v>
      </c>
      <c r="I188" t="n" s="18">
        <v>8190.91</v>
      </c>
      <c r="J188" t="n" s="18">
        <v>122.37</v>
      </c>
      <c r="K188" t="n" s="20">
        <v>630.07</v>
      </c>
      <c r="L188" t="n" s="21">
        <v>0.33030000000000004</v>
      </c>
      <c r="M188" t="n" s="19">
        <v>0</v>
      </c>
    </row>
    <row r="189" hidden="0" ht="15" customHeight="1" spans="1:1">
      <c r="A189" t="str" s="17">
        <f>HYPERLINK("https://amazon.com/dp/B0CZPVXS75", "B0CZPVXS75")</f>
      </c>
      <c r="B189" t="s">
        <v>203</v>
      </c>
      <c r="C189" t="s">
        <v>45</v>
      </c>
      <c r="D189" t="n" s="18">
        <v>10112.15</v>
      </c>
      <c r="E189" t="n" s="19">
        <v>16</v>
      </c>
      <c r="F189" t="n" s="20">
        <v>643.5</v>
      </c>
      <c r="G189" t="n" s="19">
        <v>432</v>
      </c>
      <c r="H189" t="n" s="21">
        <v>0.0362</v>
      </c>
      <c r="I189" t="n" s="18">
        <v>9421.6</v>
      </c>
      <c r="J189" t="n" s="18">
        <v>145.37</v>
      </c>
      <c r="K189" t="n" s="20">
        <v>588.85</v>
      </c>
      <c r="L189" t="n" s="21">
        <v>0.2309</v>
      </c>
      <c r="M189" t="n" s="19">
        <v>1</v>
      </c>
    </row>
    <row r="190" hidden="0" ht="15" customHeight="1" spans="1:1">
      <c r="A190" t="str" s="17">
        <f>HYPERLINK("https://amazon.com/dp/B0FGXT75VK", "B0FGXT75VK")</f>
      </c>
      <c r="B190" t="s">
        <v>204</v>
      </c>
      <c r="C190" t="s">
        <v>15</v>
      </c>
      <c r="D190" t="n" s="18">
        <v>10110.58</v>
      </c>
      <c r="E190" t="n" s="19">
        <v>10</v>
      </c>
      <c r="F190" t="n" s="20">
        <v>1127.74</v>
      </c>
      <c r="G190" t="n" s="19">
        <v>421</v>
      </c>
      <c r="H190" t="n" s="21">
        <v>0.0154</v>
      </c>
      <c r="I190" t="n" s="18">
        <v>11195.45</v>
      </c>
      <c r="J190" t="n" s="18">
        <v>41.66</v>
      </c>
      <c r="K190" t="n" s="20">
        <v>1119.55</v>
      </c>
      <c r="L190" t="n" s="21">
        <v>0.21989999999999998</v>
      </c>
      <c r="M190" t="n" s="19">
        <v>0</v>
      </c>
    </row>
    <row r="191" hidden="0" ht="15" customHeight="1" spans="1:1">
      <c r="A191" t="str" s="17">
        <f>HYPERLINK("https://amazon.com/dp/B0FC2MCT55", "B0FC2MCT55")</f>
      </c>
      <c r="B191" t="s">
        <v>205</v>
      </c>
      <c r="C191" t="s">
        <v>45</v>
      </c>
      <c r="D191" t="n" s="18">
        <v>10079.59</v>
      </c>
      <c r="E191" t="n" s="19">
        <v>3</v>
      </c>
      <c r="F191" t="n" s="20">
        <v>3387.64</v>
      </c>
      <c r="G191" t="n" s="19">
        <v>93</v>
      </c>
      <c r="H191" t="n" s="21">
        <v>0.0226</v>
      </c>
      <c r="I191" t="n" s="18">
        <v>10310.26</v>
      </c>
      <c r="J191" t="n" s="18">
        <v>83.33</v>
      </c>
      <c r="K191" t="n" s="20">
        <v>3436.75</v>
      </c>
      <c r="L191" t="n" s="21">
        <v>0.1548</v>
      </c>
      <c r="M191" t="n" s="19">
        <v>0</v>
      </c>
    </row>
    <row r="192" hidden="0" ht="15" customHeight="1" spans="1:1">
      <c r="A192" t="str" s="17">
        <f>HYPERLINK("https://amazon.com/dp/B0CHFFPZQX", "B0CHFFPZQX")</f>
      </c>
      <c r="B192" t="s">
        <v>206</v>
      </c>
      <c r="C192" t="s">
        <v>15</v>
      </c>
      <c r="D192" t="n" s="18">
        <v>9668.2</v>
      </c>
      <c r="E192" t="n" s="19">
        <v>12</v>
      </c>
      <c r="F192" t="n" s="20">
        <v>833.1</v>
      </c>
      <c r="G192" t="n" s="19">
        <v>439</v>
      </c>
      <c r="H192" t="n" s="21">
        <v>0.0245</v>
      </c>
      <c r="I192" t="n" s="18">
        <v>9158.16</v>
      </c>
      <c r="J192" t="n" s="18">
        <v>328.99</v>
      </c>
      <c r="K192" t="n" s="20">
        <v>763.18</v>
      </c>
      <c r="L192" t="n" s="21">
        <v>0.2113</v>
      </c>
      <c r="M192" t="n" s="19">
        <v>4</v>
      </c>
    </row>
    <row r="193" hidden="0" ht="15" customHeight="1" spans="1:1">
      <c r="A193" t="str" s="17">
        <f>HYPERLINK("https://amazon.com/dp/B0B1JTHT9J", "B0B1JTHT9J")</f>
      </c>
      <c r="B193" t="s">
        <v>207</v>
      </c>
      <c r="C193" t="s">
        <v>15</v>
      </c>
      <c r="D193" t="n" s="18">
        <v>9544.88</v>
      </c>
      <c r="E193" t="n" s="19">
        <v>5</v>
      </c>
      <c r="F193" t="n" s="20">
        <v>2322.95</v>
      </c>
      <c r="G193" t="n" s="19">
        <v>252</v>
      </c>
      <c r="H193" t="n" s="21">
        <v>0.0126</v>
      </c>
      <c r="I193" t="n" s="18">
        <v>11122.8</v>
      </c>
      <c r="J193" t="n" s="18">
        <v>0</v>
      </c>
      <c r="K193" t="n" s="20">
        <v>2224.56</v>
      </c>
      <c r="L193" t="n" s="21">
        <v>0.20989999999999998</v>
      </c>
      <c r="M193" t="n" s="19">
        <v>2</v>
      </c>
    </row>
    <row r="194" hidden="0" ht="15" customHeight="1" spans="1:1">
      <c r="A194" t="str" s="17">
        <f>HYPERLINK("https://amazon.com/dp/B08GDC99PX", "B08GDC99PX")</f>
      </c>
      <c r="B194" t="s">
        <v>208</v>
      </c>
      <c r="C194" t="s">
        <v>22</v>
      </c>
      <c r="D194" t="n" s="18">
        <v>9440.24</v>
      </c>
      <c r="E194" t="n" s="19">
        <v>0</v>
      </c>
      <c r="F194" t="n" s="20">
        <v>0</v>
      </c>
      <c r="G194" t="n" s="19">
        <v>129</v>
      </c>
      <c r="H194" t="n" s="21">
        <v>0.0096</v>
      </c>
      <c r="I194" t="n" s="18">
        <v>0</v>
      </c>
      <c r="J194" t="n" s="18">
        <v>0</v>
      </c>
      <c r="K194" t="n" s="20">
        <v>0</v>
      </c>
      <c r="L194" t="n" s="21">
        <v>0</v>
      </c>
      <c r="M194" t="n" s="19">
        <v>0</v>
      </c>
    </row>
    <row r="195" hidden="0" ht="15" customHeight="1" spans="1:1">
      <c r="A195" t="str" s="17">
        <f>HYPERLINK("https://amazon.com/dp/B0FKN5K2HC", "B0FKN5K2HC")</f>
      </c>
      <c r="B195" t="s">
        <v>209</v>
      </c>
      <c r="C195" t="s">
        <v>45</v>
      </c>
      <c r="D195" t="n" s="18">
        <v>9286.76</v>
      </c>
      <c r="E195" t="n" s="19">
        <v>36</v>
      </c>
      <c r="F195" t="n" s="20">
        <v>268.25</v>
      </c>
      <c r="G195" t="n" s="19">
        <v>394</v>
      </c>
      <c r="H195" t="n" s="21">
        <v>0.09140000000000001</v>
      </c>
      <c r="I195" t="n" s="18">
        <v>9426.36</v>
      </c>
      <c r="J195" t="n" s="18">
        <v>415.86</v>
      </c>
      <c r="K195" t="n" s="20">
        <v>261.84</v>
      </c>
      <c r="L195" t="n" s="21">
        <v>0.1516</v>
      </c>
      <c r="M195" t="n" s="19">
        <v>1</v>
      </c>
    </row>
    <row r="196" hidden="0" ht="15" customHeight="1" spans="1:1">
      <c r="A196" t="str" s="17">
        <f>HYPERLINK("https://amazon.com/dp/B07QWZTG7F", "B07QWZTG7F")</f>
      </c>
      <c r="B196" t="s">
        <v>210</v>
      </c>
      <c r="C196" t="s">
        <v>15</v>
      </c>
      <c r="D196" t="n" s="18">
        <v>8949.37</v>
      </c>
      <c r="E196" t="n" s="19">
        <v>14</v>
      </c>
      <c r="F196" t="n" s="20">
        <v>812.28</v>
      </c>
      <c r="G196" t="n" s="19">
        <v>146</v>
      </c>
      <c r="H196" t="n" s="21">
        <v>0.0334</v>
      </c>
      <c r="I196" t="n" s="18">
        <v>14692.58</v>
      </c>
      <c r="J196" t="n" s="18">
        <v>0</v>
      </c>
      <c r="K196" t="n" s="20">
        <v>1049.47</v>
      </c>
      <c r="L196" t="n" s="21">
        <v>-0.0659</v>
      </c>
      <c r="M196" t="n" s="19">
        <v>2</v>
      </c>
    </row>
    <row r="197" hidden="0" ht="15" customHeight="1" spans="1:1">
      <c r="A197" t="str" s="17">
        <f>HYPERLINK("https://amazon.com/dp/B07ZKXKHSD", "B07ZKXKHSD")</f>
      </c>
      <c r="B197" t="s">
        <v>211</v>
      </c>
      <c r="C197" t="s">
        <v>15</v>
      </c>
      <c r="D197" t="n" s="18">
        <v>8896.02</v>
      </c>
      <c r="E197" t="n" s="19">
        <v>28</v>
      </c>
      <c r="F197" t="n" s="20">
        <v>292.85</v>
      </c>
      <c r="G197" t="n" s="19">
        <v>206</v>
      </c>
      <c r="H197" t="n" s="21">
        <v>0.13419999999999999</v>
      </c>
      <c r="I197" t="n" s="18">
        <v>7741.16</v>
      </c>
      <c r="J197" t="n" s="18">
        <v>204.28</v>
      </c>
      <c r="K197" t="n" s="20">
        <v>276.47</v>
      </c>
      <c r="L197" t="n" s="21">
        <v>0.1821</v>
      </c>
      <c r="M197" t="n" s="19">
        <v>0</v>
      </c>
    </row>
    <row r="198" hidden="0" ht="15" customHeight="1" spans="1:1">
      <c r="A198" t="str" s="17">
        <f>HYPERLINK("https://amazon.com/dp/B0B5PLZV5B", "B0B5PLZV5B")</f>
      </c>
      <c r="B198" t="s">
        <v>212</v>
      </c>
      <c r="C198" t="s">
        <v>22</v>
      </c>
      <c r="D198" t="n" s="18">
        <v>8763.5</v>
      </c>
      <c r="E198" t="n" s="19">
        <v>10</v>
      </c>
      <c r="F198" t="n" s="20">
        <v>810.78</v>
      </c>
      <c r="G198" t="n" s="19">
        <v>856</v>
      </c>
      <c r="H198" t="n" s="21">
        <v>0.0038</v>
      </c>
      <c r="I198" t="n" s="18">
        <v>4241.31</v>
      </c>
      <c r="J198" t="n" s="18">
        <v>157.28</v>
      </c>
      <c r="K198" t="n" s="20">
        <v>424.13</v>
      </c>
      <c r="L198" t="n" s="21">
        <v>0.5867</v>
      </c>
      <c r="M198" t="n" s="19">
        <v>2</v>
      </c>
    </row>
    <row r="199" hidden="0" ht="15" customHeight="1" spans="1:1">
      <c r="A199" t="str" s="17">
        <f>HYPERLINK("https://amazon.com/dp/B000FNFSPY", "B000FNFSPY")</f>
      </c>
      <c r="B199" t="s">
        <v>213</v>
      </c>
      <c r="C199" t="s">
        <v>15</v>
      </c>
      <c r="D199" t="n" s="18">
        <v>8727.94</v>
      </c>
      <c r="E199" t="n" s="19">
        <v>32</v>
      </c>
      <c r="F199" t="n" s="20">
        <v>276.44</v>
      </c>
      <c r="G199" t="n" s="19">
        <v>344</v>
      </c>
      <c r="H199" t="n" s="21">
        <v>0.0889</v>
      </c>
      <c r="I199" t="n" s="18">
        <v>9393.41</v>
      </c>
      <c r="J199" t="n" s="18">
        <v>166.36</v>
      </c>
      <c r="K199" t="n" s="20">
        <v>293.54</v>
      </c>
      <c r="L199" t="n" s="21">
        <v>0.1023</v>
      </c>
      <c r="M199" t="n" s="19">
        <v>2</v>
      </c>
    </row>
    <row r="200" hidden="0" ht="15" customHeight="1" spans="1:1">
      <c r="A200" t="str" s="17">
        <f>HYPERLINK("https://amazon.com/dp/B0FG2MD49G", "B0FG2MD49G")</f>
      </c>
      <c r="B200" t="s">
        <v>214</v>
      </c>
      <c r="C200" t="s">
        <v>15</v>
      </c>
      <c r="D200" t="n" s="18">
        <v>8651.07</v>
      </c>
      <c r="E200" t="n" s="19">
        <v>1</v>
      </c>
      <c r="F200" t="n" s="20">
        <v>8651.07</v>
      </c>
      <c r="G200" t="n" s="19">
        <v>270</v>
      </c>
      <c r="H200" t="n" s="21">
        <v>0.0024</v>
      </c>
      <c r="I200" t="n" s="18">
        <v>8197.22</v>
      </c>
      <c r="J200" t="n" s="18">
        <v>0</v>
      </c>
      <c r="K200" t="n" s="20">
        <v>8197.22</v>
      </c>
      <c r="L200" t="n" s="21">
        <v>0.2183</v>
      </c>
      <c r="M200" t="n" s="19">
        <v>1</v>
      </c>
    </row>
    <row r="201" hidden="0" ht="15" customHeight="1" spans="1:1">
      <c r="A201" t="str" s="17">
        <f>HYPERLINK("https://amazon.com/dp/B0GGVD5RB3", "B0GGVD5RB3")</f>
      </c>
      <c r="B201" t="s">
        <v>215</v>
      </c>
      <c r="C201" t="s">
        <v>22</v>
      </c>
      <c r="D201" t="n" s="18">
        <v>8110.02</v>
      </c>
      <c r="E201" t="n" s="19">
        <v>6</v>
      </c>
      <c r="F201" t="n" s="20">
        <v>1169.29</v>
      </c>
      <c r="G201" t="n" s="19">
        <v>185</v>
      </c>
      <c r="H201" t="n" s="21">
        <v>0.037000000000000005</v>
      </c>
      <c r="I201" t="n" s="18">
        <v>6149.07</v>
      </c>
      <c r="J201" t="n" s="18">
        <v>83.33</v>
      </c>
      <c r="K201" t="n" s="20">
        <v>1024.85</v>
      </c>
      <c r="L201" t="n" s="21">
        <v>0.265</v>
      </c>
      <c r="M201" t="n" s="19">
        <v>0</v>
      </c>
    </row>
    <row r="202" hidden="0" ht="15" customHeight="1" spans="1:1">
      <c r="A202" t="str" s="17">
        <f>HYPERLINK("https://amazon.com/dp/B07ZKWRYSS", "B07ZKWRYSS")</f>
      </c>
      <c r="B202" t="s">
        <v>216</v>
      </c>
      <c r="C202" t="s">
        <v>15</v>
      </c>
      <c r="D202" t="n" s="18">
        <v>8045.17</v>
      </c>
      <c r="E202" t="n" s="19">
        <v>32</v>
      </c>
      <c r="F202" t="n" s="20">
        <v>247.44</v>
      </c>
      <c r="G202" t="n" s="19">
        <v>454</v>
      </c>
      <c r="H202" t="n" s="21">
        <v>0.0746</v>
      </c>
      <c r="I202" t="n" s="18">
        <v>7234.04</v>
      </c>
      <c r="J202" t="n" s="18">
        <v>484.26</v>
      </c>
      <c r="K202" t="n" s="20">
        <v>226.06</v>
      </c>
      <c r="L202" t="n" s="21">
        <v>0.1714</v>
      </c>
      <c r="M202" t="n" s="19">
        <v>0</v>
      </c>
    </row>
    <row r="203" hidden="0" ht="15" customHeight="1" spans="1:1">
      <c r="A203" t="str" s="17">
        <f>HYPERLINK("https://amazon.com/dp/B0F12GCR4D", "B0F12GCR4D")</f>
      </c>
      <c r="B203" t="s">
        <v>217</v>
      </c>
      <c r="C203" t="s">
        <v>45</v>
      </c>
      <c r="D203" t="n" s="18">
        <v>7855.96</v>
      </c>
      <c r="E203" t="n" s="19">
        <v>7</v>
      </c>
      <c r="F203" t="n" s="20">
        <v>1601.57</v>
      </c>
      <c r="G203" t="n" s="19">
        <v>414</v>
      </c>
      <c r="H203" t="n" s="21">
        <v>0.011399999999999999</v>
      </c>
      <c r="I203" t="n" s="18">
        <v>12904.36</v>
      </c>
      <c r="J203" t="n" s="18">
        <v>104.16</v>
      </c>
      <c r="K203" t="n" s="20">
        <v>1843.48</v>
      </c>
      <c r="L203" t="n" s="21">
        <v>0.1961</v>
      </c>
      <c r="M203" t="n" s="19">
        <v>1</v>
      </c>
    </row>
    <row r="204" hidden="0" ht="15" customHeight="1" spans="1:1">
      <c r="A204" t="str" s="17">
        <f>HYPERLINK("https://amazon.com/dp/9800359850", "9800359850")</f>
      </c>
      <c r="B204" t="s">
        <v>218</v>
      </c>
      <c r="C204" t="s">
        <v>15</v>
      </c>
      <c r="D204" t="n" s="18">
        <v>7846.43</v>
      </c>
      <c r="E204" t="n" s="19">
        <v>17</v>
      </c>
      <c r="F204" t="n" s="20">
        <v>478.74</v>
      </c>
      <c r="G204" t="n" s="19">
        <v>341</v>
      </c>
      <c r="H204" t="n" s="21">
        <v>0.0447</v>
      </c>
      <c r="I204" t="n" s="18">
        <v>7531.58</v>
      </c>
      <c r="J204" t="n" s="18">
        <v>303.51</v>
      </c>
      <c r="K204" t="n" s="20">
        <v>443.03</v>
      </c>
      <c r="L204" t="n" s="21">
        <v>0.18539999999999998</v>
      </c>
      <c r="M204" t="n" s="19">
        <v>1</v>
      </c>
    </row>
    <row r="205" hidden="0" ht="15" customHeight="1" spans="1:1">
      <c r="A205" t="str" s="17">
        <f>HYPERLINK("https://amazon.com/dp/B0GVKC1PF6", "B0GVKC1PF6")</f>
      </c>
      <c r="B205" t="s">
        <v>219</v>
      </c>
      <c r="C205" t="s">
        <v>15</v>
      </c>
      <c r="D205" t="n" s="18">
        <v>7587.45</v>
      </c>
      <c r="E205" t="n" s="19">
        <v>3</v>
      </c>
      <c r="F205" t="n" s="20">
        <v>2529.15</v>
      </c>
      <c r="G205" t="n" s="19">
        <v>148</v>
      </c>
      <c r="H205" t="n" s="21">
        <v>0.0203</v>
      </c>
      <c r="I205" t="n" s="18">
        <v>6683.44</v>
      </c>
      <c r="J205" t="n" s="18">
        <v>0</v>
      </c>
      <c r="K205" t="n" s="20">
        <v>2227.81</v>
      </c>
      <c r="L205" t="n" s="21">
        <v>0.2733</v>
      </c>
      <c r="M205" t="n" s="19">
        <v>1</v>
      </c>
    </row>
    <row r="206" hidden="0" ht="15" customHeight="1" spans="1:1">
      <c r="A206" t="str" s="17">
        <f>HYPERLINK("https://amazon.com/dp/B07R48S6MB", "B07R48S6MB")</f>
      </c>
      <c r="B206" t="s">
        <v>220</v>
      </c>
      <c r="C206" t="s">
        <v>15</v>
      </c>
      <c r="D206" t="n" s="18">
        <v>7529.67</v>
      </c>
      <c r="E206" t="n" s="19">
        <v>2</v>
      </c>
      <c r="F206" t="n" s="20">
        <v>3775.25</v>
      </c>
      <c r="G206" t="n" s="19">
        <v>68</v>
      </c>
      <c r="H206" t="n" s="21">
        <v>0.0282</v>
      </c>
      <c r="I206" t="n" s="18">
        <v>7378.3</v>
      </c>
      <c r="J206" t="n" s="18">
        <v>20.83</v>
      </c>
      <c r="K206" t="n" s="20">
        <v>3689.15</v>
      </c>
      <c r="L206" t="n" s="21">
        <v>0.1911</v>
      </c>
      <c r="M206" t="n" s="19">
        <v>0</v>
      </c>
    </row>
    <row r="207" hidden="0" ht="15" customHeight="1" spans="1:1">
      <c r="A207" t="str" s="17">
        <f>HYPERLINK("https://amazon.com/dp/B0DQTKH83X", "B0DQTKH83X")</f>
      </c>
      <c r="B207" t="s">
        <v>221</v>
      </c>
      <c r="C207" t="s">
        <v>45</v>
      </c>
      <c r="D207" t="n" s="18">
        <v>7464.18</v>
      </c>
      <c r="E207" t="n" s="19">
        <v>4</v>
      </c>
      <c r="F207" t="n" s="20">
        <v>1865.53</v>
      </c>
      <c r="G207" t="n" s="19">
        <v>61</v>
      </c>
      <c r="H207" t="n" s="21">
        <v>0.057999999999999996</v>
      </c>
      <c r="I207" t="n" s="18">
        <v>6960</v>
      </c>
      <c r="J207" t="n" s="18">
        <v>0</v>
      </c>
      <c r="K207" t="n" s="20">
        <v>1740</v>
      </c>
      <c r="L207" t="n" s="21">
        <v>0.2305</v>
      </c>
      <c r="M207" t="n" s="19">
        <v>0</v>
      </c>
    </row>
    <row r="208" hidden="0" ht="15" customHeight="1" spans="1:1">
      <c r="A208" t="str" s="17">
        <f>HYPERLINK("https://amazon.com/dp/B07KRCW6LZ", "B07KRCW6LZ")</f>
      </c>
      <c r="B208" t="s">
        <v>222</v>
      </c>
      <c r="C208" t="s">
        <v>15</v>
      </c>
      <c r="D208" t="n" s="18">
        <v>7240.78</v>
      </c>
      <c r="E208" t="n" s="19">
        <v>14</v>
      </c>
      <c r="F208" t="n" s="20">
        <v>528.73</v>
      </c>
      <c r="G208" t="n" s="19">
        <v>672</v>
      </c>
      <c r="H208" t="n" s="21">
        <v>0.0207</v>
      </c>
      <c r="I208" t="n" s="18">
        <v>5953.79</v>
      </c>
      <c r="J208" t="n" s="18">
        <v>161.48</v>
      </c>
      <c r="K208" t="n" s="20">
        <v>425.27</v>
      </c>
      <c r="L208" t="n" s="21">
        <v>0.3044</v>
      </c>
      <c r="M208" t="n" s="19">
        <v>2</v>
      </c>
    </row>
    <row r="209" hidden="0" ht="15" customHeight="1" spans="1:1">
      <c r="A209" t="str" s="17">
        <f>HYPERLINK("https://amazon.com/dp/B00H32T3M4", "B00H32T3M4")</f>
      </c>
      <c r="B209" t="s">
        <v>223</v>
      </c>
      <c r="C209" t="s">
        <v>15</v>
      </c>
      <c r="D209" t="n" s="18">
        <v>7112.49</v>
      </c>
      <c r="E209" t="n" s="19">
        <v>19</v>
      </c>
      <c r="F209" t="n" s="20">
        <v>393.1</v>
      </c>
      <c r="G209" t="n" s="19">
        <v>94</v>
      </c>
      <c r="H209" t="n" s="21">
        <v>0.0139</v>
      </c>
      <c r="I209" t="n" s="18">
        <v>11204.71</v>
      </c>
      <c r="J209" t="n" s="18">
        <v>356.42</v>
      </c>
      <c r="K209" t="n" s="20">
        <v>589.72</v>
      </c>
      <c r="L209" t="n" s="21">
        <v>-0.128</v>
      </c>
      <c r="M209" t="n" s="19">
        <v>2</v>
      </c>
    </row>
    <row r="210" hidden="0" ht="15" customHeight="1" spans="1:1">
      <c r="A210" t="str" s="17">
        <f>HYPERLINK("https://amazon.com/dp/B0799C35LV", "B0799C35LV")</f>
      </c>
      <c r="B210" t="s">
        <v>224</v>
      </c>
      <c r="C210" t="s">
        <v>15</v>
      </c>
      <c r="D210" t="n" s="18">
        <v>7004.78</v>
      </c>
      <c r="E210" t="n" s="19">
        <v>22</v>
      </c>
      <c r="F210" t="n" s="20">
        <v>357.5</v>
      </c>
      <c r="G210" t="n" s="19">
        <v>212</v>
      </c>
      <c r="H210" t="n" s="21">
        <v>0.0855</v>
      </c>
      <c r="I210" t="n" s="18">
        <v>7356.51</v>
      </c>
      <c r="J210" t="n" s="18">
        <v>278.39</v>
      </c>
      <c r="K210" t="n" s="20">
        <v>334.39</v>
      </c>
      <c r="L210" t="n" s="21">
        <v>0.1789</v>
      </c>
      <c r="M210" t="n" s="19">
        <v>3</v>
      </c>
    </row>
    <row r="211" hidden="0" ht="15" customHeight="1" spans="1:1">
      <c r="A211" t="str" s="17">
        <f>HYPERLINK("https://amazon.com/dp/B0DJH4JYSM", "B0DJH4JYSM")</f>
      </c>
      <c r="B211" t="s">
        <v>225</v>
      </c>
      <c r="C211" t="s">
        <v>15</v>
      </c>
      <c r="D211" t="n" s="18">
        <v>6732.15</v>
      </c>
      <c r="E211" t="n" s="19">
        <v>1</v>
      </c>
      <c r="F211" t="n" s="20">
        <v>6732.15</v>
      </c>
      <c r="G211" t="n" s="19">
        <v>3</v>
      </c>
      <c r="H211" t="n" s="21">
        <v>0.009899999999999999</v>
      </c>
      <c r="I211" t="n" s="18">
        <v>7681.93</v>
      </c>
      <c r="J211" t="n" s="18">
        <v>0</v>
      </c>
      <c r="K211" t="n" s="20">
        <v>7681.93</v>
      </c>
      <c r="L211" t="n" s="21">
        <v>0.058600000000000006</v>
      </c>
      <c r="M211" t="n" s="19">
        <v>0</v>
      </c>
    </row>
    <row r="212" hidden="0" ht="15" customHeight="1" spans="1:1">
      <c r="A212" t="str" s="17">
        <f>HYPERLINK("https://amazon.com/dp/B0GVN239YL", "B0GVN239YL")</f>
      </c>
      <c r="B212" t="s">
        <v>226</v>
      </c>
      <c r="C212" t="s">
        <v>15</v>
      </c>
      <c r="D212" t="n" s="18">
        <v>6702.87</v>
      </c>
      <c r="E212" t="n" s="19">
        <v>7</v>
      </c>
      <c r="F212" t="n" s="20">
        <v>960.11</v>
      </c>
      <c r="G212" t="n" s="19">
        <v>74</v>
      </c>
      <c r="H212" t="n" s="21">
        <v>0.0745</v>
      </c>
      <c r="I212" t="n" s="18">
        <v>6588.64</v>
      </c>
      <c r="J212" t="n" s="18">
        <v>20.83</v>
      </c>
      <c r="K212" t="n" s="20">
        <v>941.23</v>
      </c>
      <c r="L212" t="n" s="21">
        <v>0.0904</v>
      </c>
      <c r="M212" t="n" s="19">
        <v>1</v>
      </c>
    </row>
    <row r="213" hidden="0" ht="15" customHeight="1" spans="1:1">
      <c r="A213" t="str" s="17">
        <f>HYPERLINK("https://amazon.com/dp/B0FFMS3ZHF", "B0FFMS3ZHF")</f>
      </c>
      <c r="B213" t="s">
        <v>227</v>
      </c>
      <c r="C213" t="s">
        <v>15</v>
      </c>
      <c r="D213" t="n" s="18">
        <v>6331.74</v>
      </c>
      <c r="E213" t="n" s="19">
        <v>2</v>
      </c>
      <c r="F213" t="n" s="20">
        <v>3165.87</v>
      </c>
      <c r="G213" t="n" s="19">
        <v>53</v>
      </c>
      <c r="H213" t="n" s="21">
        <v>0.016</v>
      </c>
      <c r="I213" t="n" s="18">
        <v>5457.82</v>
      </c>
      <c r="J213" t="n" s="18">
        <v>0</v>
      </c>
      <c r="K213" t="n" s="20">
        <v>2728.91</v>
      </c>
      <c r="L213" t="n" s="21">
        <v>0.2889</v>
      </c>
      <c r="M213" t="n" s="19">
        <v>0</v>
      </c>
    </row>
    <row r="214" hidden="0" ht="15" customHeight="1" spans="1:1">
      <c r="A214" t="str" s="17">
        <f>HYPERLINK("https://amazon.com/dp/B0B7NDJW6J", "B0B7NDJW6J")</f>
      </c>
      <c r="B214" t="s">
        <v>228</v>
      </c>
      <c r="C214" t="s">
        <v>22</v>
      </c>
      <c r="D214" t="n" s="18">
        <v>6296.7</v>
      </c>
      <c r="E214" t="n" s="19">
        <v>7</v>
      </c>
      <c r="F214" t="n" s="20">
        <v>629.67</v>
      </c>
      <c r="G214" t="n" s="19">
        <v>180</v>
      </c>
      <c r="H214" t="n" s="21">
        <v>0.0055000000000000005</v>
      </c>
      <c r="I214" t="n" s="18">
        <v>4242.7</v>
      </c>
      <c r="J214" t="n" s="18">
        <v>0</v>
      </c>
      <c r="K214" t="n" s="20">
        <v>606.1</v>
      </c>
      <c r="L214" t="n" s="21">
        <v>0.2059</v>
      </c>
      <c r="M214" t="n" s="19">
        <v>0</v>
      </c>
    </row>
    <row r="215" hidden="0" ht="15" customHeight="1" spans="1:1">
      <c r="A215" t="str" s="17">
        <f>HYPERLINK("https://amazon.com/dp/B086LRTQYS", "B086LRTQYS")</f>
      </c>
      <c r="B215" t="s">
        <v>229</v>
      </c>
      <c r="C215" t="s">
        <v>15</v>
      </c>
      <c r="D215" t="n" s="18">
        <v>6229.91</v>
      </c>
      <c r="E215" t="n" s="19">
        <v>3</v>
      </c>
      <c r="F215" t="n" s="20">
        <v>2076.64</v>
      </c>
      <c r="G215" t="n" s="19">
        <v>50</v>
      </c>
      <c r="H215" t="n" s="21">
        <v>0.018600000000000002</v>
      </c>
      <c r="I215" t="n" s="18">
        <v>6055.68</v>
      </c>
      <c r="J215" t="n" s="18">
        <v>0</v>
      </c>
      <c r="K215" t="n" s="20">
        <v>2018.56</v>
      </c>
      <c r="L215" t="n" s="21">
        <v>0.18350000000000002</v>
      </c>
      <c r="M215" t="n" s="19">
        <v>1</v>
      </c>
    </row>
    <row r="216" hidden="0" ht="15" customHeight="1" spans="1:1">
      <c r="A216" t="str" s="17">
        <f>HYPERLINK("https://amazon.com/dp/B0DQXPQSXM", "B0DQXPQSXM")</f>
      </c>
      <c r="B216" t="s">
        <v>230</v>
      </c>
      <c r="C216" t="s">
        <v>15</v>
      </c>
      <c r="D216" t="n" s="18">
        <v>6103.23</v>
      </c>
      <c r="E216" t="n" s="19">
        <v>23</v>
      </c>
      <c r="F216" t="n" s="20">
        <v>272.62</v>
      </c>
      <c r="G216" t="n" s="19">
        <v>230</v>
      </c>
      <c r="H216" t="n" s="21">
        <v>0.0975</v>
      </c>
      <c r="I216" t="n" s="18">
        <v>6611.02</v>
      </c>
      <c r="J216" t="n" s="18">
        <v>166.97</v>
      </c>
      <c r="K216" t="n" s="20">
        <v>287.44</v>
      </c>
      <c r="L216" t="n" s="21">
        <v>0.10289999999999999</v>
      </c>
      <c r="M216" t="n" s="19">
        <v>3</v>
      </c>
    </row>
    <row r="217" hidden="0" ht="15" customHeight="1" spans="1:1">
      <c r="A217" t="str" s="17">
        <f>HYPERLINK("https://amazon.com/dp/B0F8Q743QN", "B0F8Q743QN")</f>
      </c>
      <c r="B217" t="s">
        <v>231</v>
      </c>
      <c r="C217" t="s">
        <v>22</v>
      </c>
      <c r="D217" t="n" s="18">
        <v>6000.91</v>
      </c>
      <c r="E217" t="n" s="19">
        <v>8</v>
      </c>
      <c r="F217" t="n" s="20">
        <v>774.31</v>
      </c>
      <c r="G217" t="n" s="19">
        <v>23</v>
      </c>
      <c r="H217" t="n" s="21">
        <v>0.3333</v>
      </c>
      <c r="I217" t="n" s="18">
        <v>10754.64</v>
      </c>
      <c r="J217" t="n" s="18">
        <v>193.57</v>
      </c>
      <c r="K217" t="n" s="20">
        <v>1344.33</v>
      </c>
      <c r="L217" t="n" s="21">
        <v>-0.48960000000000004</v>
      </c>
      <c r="M217" t="n" s="19">
        <v>0</v>
      </c>
    </row>
    <row r="218" hidden="0" ht="15" customHeight="1" spans="1:1">
      <c r="A218" t="str" s="17">
        <f>HYPERLINK("https://amazon.com/dp/B076JFL4RM", "B076JFL4RM")</f>
      </c>
      <c r="B218" t="s">
        <v>232</v>
      </c>
      <c r="C218" t="s">
        <v>15</v>
      </c>
      <c r="D218" t="n" s="18">
        <v>5963.34</v>
      </c>
      <c r="E218" t="n" s="19">
        <v>19</v>
      </c>
      <c r="F218" t="n" s="20">
        <v>298.88</v>
      </c>
      <c r="G218" t="n" s="19">
        <v>203</v>
      </c>
      <c r="H218" t="n" s="21">
        <v>0.08810000000000001</v>
      </c>
      <c r="I218" t="n" s="18">
        <v>5805.18</v>
      </c>
      <c r="J218" t="n" s="18">
        <v>119.16</v>
      </c>
      <c r="K218" t="n" s="20">
        <v>305.54</v>
      </c>
      <c r="L218" t="n" s="21">
        <v>0.12029999999999999</v>
      </c>
      <c r="M218" t="n" s="19">
        <v>0</v>
      </c>
    </row>
    <row r="219" hidden="0" ht="15" customHeight="1" spans="1:1">
      <c r="A219" t="str" s="17">
        <f>HYPERLINK("https://amazon.com/dp/B0DQXRG2F8", "B0DQXRG2F8")</f>
      </c>
      <c r="B219" t="s">
        <v>233</v>
      </c>
      <c r="C219" t="s">
        <v>45</v>
      </c>
      <c r="D219" t="n" s="18">
        <v>5824.45</v>
      </c>
      <c r="E219" t="n" s="19">
        <v>33</v>
      </c>
      <c r="F219" t="n" s="20">
        <v>173.24</v>
      </c>
      <c r="G219" t="n" s="19">
        <v>319</v>
      </c>
      <c r="H219" t="n" s="21">
        <v>0.1014</v>
      </c>
      <c r="I219" t="n" s="18">
        <v>5188.69</v>
      </c>
      <c r="J219" t="n" s="18">
        <v>208.45</v>
      </c>
      <c r="K219" t="n" s="20">
        <v>157.23</v>
      </c>
      <c r="L219" t="n" s="21">
        <v>0.17</v>
      </c>
      <c r="M219" t="n" s="19">
        <v>2</v>
      </c>
    </row>
    <row r="220" hidden="0" ht="15" customHeight="1" spans="1:1">
      <c r="A220" t="str" s="17">
        <f>HYPERLINK("https://amazon.com/dp/B01K7BO3KE", "B01K7BO3KE")</f>
      </c>
      <c r="B220" t="s">
        <v>234</v>
      </c>
      <c r="C220" t="s">
        <v>15</v>
      </c>
      <c r="D220" t="n" s="18">
        <v>5666.52</v>
      </c>
      <c r="E220" t="n" s="19">
        <v>2</v>
      </c>
      <c r="F220" t="n" s="20">
        <v>2831.97</v>
      </c>
      <c r="G220" t="n" s="19">
        <v>24</v>
      </c>
      <c r="H220" t="n" s="21">
        <v>0.0172</v>
      </c>
      <c r="I220" t="n" s="18">
        <v>7016.58</v>
      </c>
      <c r="J220" t="n" s="18">
        <v>0</v>
      </c>
      <c r="K220" t="n" s="20">
        <v>3508.29</v>
      </c>
      <c r="L220" t="n" s="21">
        <v>-0.0406</v>
      </c>
      <c r="M220" t="n" s="19">
        <v>0</v>
      </c>
    </row>
    <row r="221" hidden="0" ht="15" customHeight="1" spans="1:1">
      <c r="A221" t="str" s="17">
        <f>HYPERLINK("https://amazon.com/dp/B0FKBPYFFZ", "B0FKBPYFFZ")</f>
      </c>
      <c r="B221" t="s">
        <v>235</v>
      </c>
      <c r="C221" t="s">
        <v>22</v>
      </c>
      <c r="D221" t="n" s="18">
        <v>5499.67</v>
      </c>
      <c r="E221" t="n" s="19">
        <v>1</v>
      </c>
      <c r="F221" t="n" s="20">
        <v>5499.67</v>
      </c>
      <c r="G221" t="n" s="19">
        <v>1837</v>
      </c>
      <c r="H221" t="n" s="21">
        <v>0.0005</v>
      </c>
      <c r="I221" t="n" s="18">
        <v>5472.25</v>
      </c>
      <c r="J221" t="n" s="18">
        <v>0</v>
      </c>
      <c r="K221" t="n" s="20">
        <v>5472.25</v>
      </c>
      <c r="L221" t="n" s="21">
        <v>0.1791</v>
      </c>
      <c r="M221" t="n" s="19">
        <v>1</v>
      </c>
    </row>
    <row r="222" hidden="0" ht="15" customHeight="1" spans="1:1">
      <c r="A222" t="str" s="17">
        <f>HYPERLINK("https://amazon.com/dp/B01GNP5UUA", "B01GNP5UUA")</f>
      </c>
      <c r="B222" t="s">
        <v>236</v>
      </c>
      <c r="C222" t="s">
        <v>15</v>
      </c>
      <c r="D222" t="n" s="18">
        <v>5243.39</v>
      </c>
      <c r="E222" t="n" s="19">
        <v>13</v>
      </c>
      <c r="F222" t="n" s="20">
        <v>417.55</v>
      </c>
      <c r="G222" t="n" s="19">
        <v>210</v>
      </c>
      <c r="H222" t="n" s="21">
        <v>0.0599</v>
      </c>
      <c r="I222" t="n" s="18">
        <v>4685.72</v>
      </c>
      <c r="J222" t="n" s="18">
        <v>226.39</v>
      </c>
      <c r="K222" t="n" s="20">
        <v>360.44</v>
      </c>
      <c r="L222" t="n" s="21">
        <v>0.24609999999999999</v>
      </c>
      <c r="M222" t="n" s="19">
        <v>0</v>
      </c>
    </row>
    <row r="223" hidden="0" ht="15" customHeight="1" spans="1:1">
      <c r="A223" t="str" s="17">
        <f>HYPERLINK("https://amazon.com/dp/B0DKSLLYTM", "B0DKSLLYTM")</f>
      </c>
      <c r="B223" t="s">
        <v>237</v>
      </c>
      <c r="C223" t="s">
        <v>45</v>
      </c>
      <c r="D223" t="n" s="18">
        <v>5108.03</v>
      </c>
      <c r="E223" t="n" s="19">
        <v>3</v>
      </c>
      <c r="F223" t="n" s="20">
        <v>1716.56</v>
      </c>
      <c r="G223" t="n" s="19">
        <v>192</v>
      </c>
      <c r="H223" t="n" s="21">
        <v>0.006999999999999999</v>
      </c>
      <c r="I223" t="n" s="18">
        <v>6814.41</v>
      </c>
      <c r="J223" t="n" s="18">
        <v>41.66</v>
      </c>
      <c r="K223" t="n" s="20">
        <v>2271.47</v>
      </c>
      <c r="L223" t="n" s="21">
        <v>0.0693</v>
      </c>
      <c r="M223" t="n" s="19">
        <v>0</v>
      </c>
    </row>
    <row r="224" hidden="0" ht="15" customHeight="1" spans="1:1">
      <c r="A224" t="str" s="17">
        <f>HYPERLINK("https://amazon.com/dp/B004393J9I", "B004393J9I")</f>
      </c>
      <c r="B224" t="s">
        <v>238</v>
      </c>
      <c r="C224" t="s">
        <v>15</v>
      </c>
      <c r="D224" t="n" s="18">
        <v>5081.51</v>
      </c>
      <c r="E224" t="n" s="19">
        <v>2</v>
      </c>
      <c r="F224" t="n" s="20">
        <v>2540.76</v>
      </c>
      <c r="G224" t="n" s="19">
        <v>96</v>
      </c>
      <c r="H224" t="n" s="21">
        <v>0.0208</v>
      </c>
      <c r="I224" t="n" s="18">
        <v>4616.08</v>
      </c>
      <c r="J224" t="n" s="18">
        <v>0</v>
      </c>
      <c r="K224" t="n" s="20">
        <v>2308.04</v>
      </c>
      <c r="L224" t="n" s="21">
        <v>0.2506</v>
      </c>
      <c r="M224" t="n" s="19">
        <v>0</v>
      </c>
    </row>
    <row r="225" hidden="0" ht="15" customHeight="1" spans="1:1">
      <c r="A225" t="str" s="17">
        <f>HYPERLINK("https://amazon.com/dp/B0CPLWFF3J", "B0CPLWFF3J")</f>
      </c>
      <c r="B225" t="s">
        <v>239</v>
      </c>
      <c r="C225" t="s">
        <v>15</v>
      </c>
      <c r="D225" t="n" s="18">
        <v>4897.95</v>
      </c>
      <c r="E225" t="n" s="19">
        <v>3</v>
      </c>
      <c r="F225" t="n" s="20">
        <v>1646.54</v>
      </c>
      <c r="G225" t="n" s="19">
        <v>372</v>
      </c>
      <c r="H225" t="n" s="21">
        <v>0.0040999999999999995</v>
      </c>
      <c r="I225" t="n" s="18">
        <v>4699.68</v>
      </c>
      <c r="J225" t="n" s="18">
        <v>41.66</v>
      </c>
      <c r="K225" t="n" s="20">
        <v>1566.56</v>
      </c>
      <c r="L225" t="n" s="21">
        <v>0.2066</v>
      </c>
      <c r="M225" t="n" s="19">
        <v>1</v>
      </c>
    </row>
    <row r="226" hidden="0" ht="15" customHeight="1" spans="1:1">
      <c r="A226" t="str" s="17">
        <f>HYPERLINK("https://amazon.com/dp/B00YMTI6WO", "B00YMTI6WO")</f>
      </c>
      <c r="B226" t="s">
        <v>240</v>
      </c>
      <c r="C226" t="s">
        <v>15</v>
      </c>
      <c r="D226" t="n" s="18">
        <v>4880.06</v>
      </c>
      <c r="E226" t="n" s="19">
        <v>6</v>
      </c>
      <c r="F226" t="n" s="20">
        <v>720.17</v>
      </c>
      <c r="G226" t="n" s="19">
        <v>126</v>
      </c>
      <c r="H226" t="n" s="21">
        <v>0.053399999999999996</v>
      </c>
      <c r="I226" t="n" s="18">
        <v>4593.6</v>
      </c>
      <c r="J226" t="n" s="18">
        <v>173.74</v>
      </c>
      <c r="K226" t="n" s="20">
        <v>765.6</v>
      </c>
      <c r="L226" t="n" s="21">
        <v>0.0827</v>
      </c>
      <c r="M226" t="n" s="19">
        <v>0</v>
      </c>
    </row>
    <row r="227" hidden="0" ht="15" customHeight="1" spans="1:1">
      <c r="A227" t="str" s="17">
        <f>HYPERLINK("https://amazon.com/dp/B0BRKFJXTT", "B0BRKFJXTT")</f>
      </c>
      <c r="B227" t="s">
        <v>241</v>
      </c>
      <c r="C227" t="s">
        <v>15</v>
      </c>
      <c r="D227" t="n" s="18">
        <v>4820.5</v>
      </c>
      <c r="E227" t="n" s="19">
        <v>1</v>
      </c>
      <c r="F227" t="n" s="20">
        <v>4820.5</v>
      </c>
      <c r="G227" t="n" s="19">
        <v>95</v>
      </c>
      <c r="H227" t="n" s="21">
        <v>0.0008</v>
      </c>
      <c r="I227" t="n" s="18">
        <v>0</v>
      </c>
      <c r="J227" t="n" s="18">
        <v>0</v>
      </c>
      <c r="K227" t="n" s="20">
        <v>0</v>
      </c>
      <c r="L227" t="n" s="21">
        <v>1</v>
      </c>
      <c r="M227" t="n" s="19">
        <v>0</v>
      </c>
    </row>
    <row r="228" hidden="0" ht="15" customHeight="1" spans="1:1">
      <c r="A228" t="str" s="17">
        <f>HYPERLINK("https://amazon.com/dp/B0C3D3G42H", "B0C3D3G42H")</f>
      </c>
      <c r="B228" t="s">
        <v>242</v>
      </c>
      <c r="C228" t="s">
        <v>15</v>
      </c>
      <c r="D228" t="n" s="18">
        <v>4563.32</v>
      </c>
      <c r="E228" t="n" s="19">
        <v>4</v>
      </c>
      <c r="F228" t="n" s="20">
        <v>1140.83</v>
      </c>
      <c r="G228" t="n" s="19">
        <v>95</v>
      </c>
      <c r="H228" t="n" s="21">
        <v>0.0278</v>
      </c>
      <c r="I228" t="n" s="18">
        <v>4338.96</v>
      </c>
      <c r="J228" t="n" s="18">
        <v>0</v>
      </c>
      <c r="K228" t="n" s="20">
        <v>1084.74</v>
      </c>
      <c r="L228" t="n" s="21">
        <v>0.21559999999999999</v>
      </c>
      <c r="M228" t="n" s="19">
        <v>0</v>
      </c>
    </row>
    <row r="229" hidden="0" ht="15" customHeight="1" spans="1:1">
      <c r="A229" t="str" s="17">
        <f>HYPERLINK("https://amazon.com/dp/B0GD6GXR92", "B0GD6GXR92")</f>
      </c>
      <c r="B229" t="s">
        <v>243</v>
      </c>
      <c r="C229" t="s">
        <v>15</v>
      </c>
      <c r="D229" t="n" s="18">
        <v>4273.01</v>
      </c>
      <c r="E229" t="n" s="19">
        <v>4</v>
      </c>
      <c r="F229" t="n" s="20">
        <v>1078.67</v>
      </c>
      <c r="G229" t="n" s="19">
        <v>137</v>
      </c>
      <c r="H229" t="n" s="21">
        <v>0.0292</v>
      </c>
      <c r="I229" t="n" s="18">
        <v>4252.49</v>
      </c>
      <c r="J229" t="n" s="18">
        <v>41.66</v>
      </c>
      <c r="K229" t="n" s="20">
        <v>1063.12</v>
      </c>
      <c r="L229" t="n" s="21">
        <v>0.1772</v>
      </c>
      <c r="M229" t="n" s="19">
        <v>0</v>
      </c>
    </row>
    <row r="230" hidden="0" ht="15" customHeight="1" spans="1:1">
      <c r="A230" t="str" s="17">
        <f>HYPERLINK("https://amazon.com/dp/B0D6W3JHJF", "B0D6W3JHJF")</f>
      </c>
      <c r="B230" t="s">
        <v>244</v>
      </c>
      <c r="C230" t="s">
        <v>15</v>
      </c>
      <c r="D230" t="n" s="18">
        <v>4223.79</v>
      </c>
      <c r="E230" t="n" s="19">
        <v>5</v>
      </c>
      <c r="F230" t="n" s="20">
        <v>848.92</v>
      </c>
      <c r="G230" t="n" s="19">
        <v>133</v>
      </c>
      <c r="H230" t="n" s="21">
        <v>0.0373</v>
      </c>
      <c r="I230" t="n" s="18">
        <v>4650.1</v>
      </c>
      <c r="J230" t="n" s="18">
        <v>20.83</v>
      </c>
      <c r="K230" t="n" s="20">
        <v>930.02</v>
      </c>
      <c r="L230" t="n" s="21">
        <v>0.0748</v>
      </c>
      <c r="M230" t="n" s="19">
        <v>1</v>
      </c>
    </row>
    <row r="231" hidden="0" ht="15" customHeight="1" spans="1:1">
      <c r="A231" t="str" s="17">
        <f>HYPERLINK("https://amazon.com/dp/B01BPFKNNM", "B01BPFKNNM")</f>
      </c>
      <c r="B231" t="s">
        <v>245</v>
      </c>
      <c r="C231" t="s">
        <v>15</v>
      </c>
      <c r="D231" t="n" s="18">
        <v>4212.06</v>
      </c>
      <c r="E231" t="n" s="19">
        <v>2</v>
      </c>
      <c r="F231" t="n" s="20">
        <v>2106.03</v>
      </c>
      <c r="G231" t="n" s="19">
        <v>5</v>
      </c>
      <c r="H231" t="n" s="21">
        <v>0.013999999999999999</v>
      </c>
      <c r="I231" t="n" s="18">
        <v>3684.44</v>
      </c>
      <c r="J231" t="n" s="18">
        <v>0</v>
      </c>
      <c r="K231" t="n" s="20">
        <v>1842.22</v>
      </c>
      <c r="L231" t="n" s="21">
        <v>0.2652</v>
      </c>
      <c r="M231" t="n" s="19">
        <v>2</v>
      </c>
    </row>
    <row r="232" hidden="0" ht="15" customHeight="1" spans="1:1">
      <c r="A232" t="str" s="17">
        <f>HYPERLINK("https://amazon.com/dp/B0DCZWXYR5", "B0DCZWXYR5")</f>
      </c>
      <c r="B232" t="s">
        <v>246</v>
      </c>
      <c r="C232" t="s">
        <v>15</v>
      </c>
      <c r="D232" t="n" s="18">
        <v>3948.34</v>
      </c>
      <c r="E232" t="n" s="19">
        <v>0</v>
      </c>
      <c r="F232" t="n" s="20">
        <v>0</v>
      </c>
      <c r="G232" t="n" s="19">
        <v>29</v>
      </c>
      <c r="H232" t="n" s="21">
        <v>0.0068000000000000005</v>
      </c>
      <c r="I232" t="n" s="18">
        <v>0</v>
      </c>
      <c r="J232" t="n" s="18">
        <v>0</v>
      </c>
      <c r="K232" t="n" s="20">
        <v>0</v>
      </c>
      <c r="L232" t="n" s="21">
        <v>0</v>
      </c>
      <c r="M232" t="n" s="19">
        <v>0</v>
      </c>
    </row>
    <row r="233" hidden="0" ht="15" customHeight="1" spans="1:1">
      <c r="A233" t="str" s="17">
        <f>HYPERLINK("https://amazon.com/dp/B0GLRL6H6Y", "B0GLRL6H6Y")</f>
      </c>
      <c r="B233" t="s">
        <v>247</v>
      </c>
      <c r="C233" t="s">
        <v>15</v>
      </c>
      <c r="D233" t="n" s="18">
        <v>3911.78</v>
      </c>
      <c r="E233" t="n" s="19">
        <v>13</v>
      </c>
      <c r="F233" t="n" s="20">
        <v>322.99</v>
      </c>
      <c r="G233" t="n" s="19">
        <v>79</v>
      </c>
      <c r="H233" t="n" s="21">
        <v>0.087</v>
      </c>
      <c r="I233" t="n" s="18">
        <v>3395.17</v>
      </c>
      <c r="J233" t="n" s="18">
        <v>0</v>
      </c>
      <c r="K233" t="n" s="20">
        <v>261.17</v>
      </c>
      <c r="L233" t="n" s="21">
        <v>0.3329</v>
      </c>
      <c r="M233" t="n" s="19">
        <v>2</v>
      </c>
    </row>
    <row r="234" hidden="0" ht="15" customHeight="1" spans="1:1">
      <c r="A234" t="str" s="17">
        <f>HYPERLINK("https://amazon.com/dp/B08FY4G3FN", "B08FY4G3FN")</f>
      </c>
      <c r="B234" t="s">
        <v>248</v>
      </c>
      <c r="C234" t="s">
        <v>15</v>
      </c>
      <c r="D234" t="n" s="18">
        <v>3887.46</v>
      </c>
      <c r="E234" t="n" s="19">
        <v>3</v>
      </c>
      <c r="F234" t="n" s="20">
        <v>1295.82</v>
      </c>
      <c r="G234" t="n" s="19">
        <v>49</v>
      </c>
      <c r="H234" t="n" s="21">
        <v>0.046900000000000004</v>
      </c>
      <c r="I234" t="n" s="18">
        <v>2963.55</v>
      </c>
      <c r="J234" t="n" s="18">
        <v>0</v>
      </c>
      <c r="K234" t="n" s="20">
        <v>987.85</v>
      </c>
      <c r="L234" t="n" s="21">
        <v>0.3711</v>
      </c>
      <c r="M234" t="n" s="19">
        <v>0</v>
      </c>
    </row>
    <row r="235" hidden="0" ht="15" customHeight="1" spans="1:1">
      <c r="A235" t="str" s="17">
        <f>HYPERLINK("https://amazon.com/dp/B07F5GMKN8", "B07F5GMKN8")</f>
      </c>
      <c r="B235" t="s">
        <v>249</v>
      </c>
      <c r="C235" t="s">
        <v>15</v>
      </c>
      <c r="D235" t="n" s="18">
        <v>3885.2</v>
      </c>
      <c r="E235" t="n" s="19">
        <v>15</v>
      </c>
      <c r="F235" t="n" s="20">
        <v>266.49</v>
      </c>
      <c r="G235" t="n" s="19">
        <v>100</v>
      </c>
      <c r="H235" t="n" s="21">
        <v>0.057300000000000004</v>
      </c>
      <c r="I235" t="n" s="18">
        <v>3073.95</v>
      </c>
      <c r="J235" t="n" s="18">
        <v>112.17</v>
      </c>
      <c r="K235" t="n" s="20">
        <v>204.93</v>
      </c>
      <c r="L235" t="n" s="21">
        <v>0.326</v>
      </c>
      <c r="M235" t="n" s="19">
        <v>0</v>
      </c>
    </row>
    <row r="236" hidden="0" ht="15" customHeight="1" spans="1:1">
      <c r="A236" t="str" s="17">
        <f>HYPERLINK("https://amazon.com/dp/B0DQXQXWDL", "B0DQXQXWDL")</f>
      </c>
      <c r="B236" t="s">
        <v>250</v>
      </c>
      <c r="C236" t="s">
        <v>22</v>
      </c>
      <c r="D236" t="n" s="18">
        <v>3779.42</v>
      </c>
      <c r="E236" t="n" s="19">
        <v>1</v>
      </c>
      <c r="F236" t="n" s="20">
        <v>3779.42</v>
      </c>
      <c r="G236" t="n" s="19">
        <v>123</v>
      </c>
      <c r="H236" t="n" s="21">
        <v>0.0026</v>
      </c>
      <c r="I236" t="n" s="18">
        <v>3573.71</v>
      </c>
      <c r="J236" t="n" s="18">
        <v>0</v>
      </c>
      <c r="K236" t="n" s="20">
        <v>3573.71</v>
      </c>
      <c r="L236" t="n" s="21">
        <v>0.21989999999999998</v>
      </c>
      <c r="M236" t="n" s="19">
        <v>0</v>
      </c>
    </row>
    <row r="237" hidden="0" ht="15" customHeight="1" spans="1:1">
      <c r="A237" t="str" s="17">
        <f>HYPERLINK("https://amazon.com/dp/B001GQDRWK", "B001GQDRWK")</f>
      </c>
      <c r="B237" t="s">
        <v>251</v>
      </c>
      <c r="C237" t="s">
        <v>15</v>
      </c>
      <c r="D237" t="n" s="18">
        <v>3754.47</v>
      </c>
      <c r="E237" t="n" s="19">
        <v>5</v>
      </c>
      <c r="F237" t="n" s="20">
        <v>759.23</v>
      </c>
      <c r="G237" t="n" s="19">
        <v>266</v>
      </c>
      <c r="H237" t="n" s="21">
        <v>0.0187</v>
      </c>
      <c r="I237" t="n" s="18">
        <v>2348.26</v>
      </c>
      <c r="J237" t="n" s="18">
        <v>41.66</v>
      </c>
      <c r="K237" t="n" s="20">
        <v>469.65</v>
      </c>
      <c r="L237" t="n" s="21">
        <v>0.4694</v>
      </c>
      <c r="M237" t="n" s="19">
        <v>2</v>
      </c>
    </row>
    <row r="238" hidden="0" ht="15" customHeight="1" spans="1:1">
      <c r="A238" t="str" s="17">
        <f>HYPERLINK("https://amazon.com/dp/B0BJ28DJ7W", "B0BJ28DJ7W")</f>
      </c>
      <c r="B238" t="s">
        <v>252</v>
      </c>
      <c r="C238" t="s">
        <v>22</v>
      </c>
      <c r="D238" t="n" s="18">
        <v>3457.7</v>
      </c>
      <c r="E238" t="n" s="19">
        <v>3</v>
      </c>
      <c r="F238" t="n" s="20">
        <v>607.5</v>
      </c>
      <c r="G238" t="n" s="19">
        <v>120</v>
      </c>
      <c r="H238" t="n" s="21">
        <v>0.0095</v>
      </c>
      <c r="I238" t="n" s="18">
        <v>1818.3</v>
      </c>
      <c r="J238" t="n" s="18">
        <v>97.22</v>
      </c>
      <c r="K238" t="n" s="20">
        <v>606.1</v>
      </c>
      <c r="L238" t="n" s="21">
        <v>0.12359999999999999</v>
      </c>
      <c r="M238" t="n" s="19">
        <v>0</v>
      </c>
    </row>
    <row r="239" hidden="0" ht="15" customHeight="1" spans="1:1">
      <c r="A239" t="str" s="17">
        <f>HYPERLINK("https://amazon.com/dp/B09K6D67NB", "B09K6D67NB")</f>
      </c>
      <c r="B239" t="s">
        <v>253</v>
      </c>
      <c r="C239" t="s">
        <v>15</v>
      </c>
      <c r="D239" t="n" s="18">
        <v>3350.97</v>
      </c>
      <c r="E239" t="n" s="19">
        <v>1</v>
      </c>
      <c r="F239" t="n" s="20">
        <v>3350.97</v>
      </c>
      <c r="G239" t="n" s="19">
        <v>5</v>
      </c>
      <c r="H239" t="n" s="21">
        <v>0.0204</v>
      </c>
      <c r="I239" t="n" s="18">
        <v>2848.94</v>
      </c>
      <c r="J239" t="n" s="18">
        <v>0</v>
      </c>
      <c r="K239" t="n" s="20">
        <v>2848.94</v>
      </c>
      <c r="L239" t="n" s="21">
        <v>0.2858</v>
      </c>
      <c r="M239" t="n" s="19">
        <v>0</v>
      </c>
    </row>
    <row r="240" hidden="0" ht="15" customHeight="1" spans="1:1">
      <c r="A240" t="str" s="17">
        <f>HYPERLINK("https://amazon.com/dp/B00DD152WY", "B00DD152WY")</f>
      </c>
      <c r="B240" t="s">
        <v>254</v>
      </c>
      <c r="C240" t="s">
        <v>15</v>
      </c>
      <c r="D240" t="n" s="18">
        <v>3339.36</v>
      </c>
      <c r="E240" t="n" s="19">
        <v>4</v>
      </c>
      <c r="F240" t="n" s="20">
        <v>840.05</v>
      </c>
      <c r="G240" t="n" s="19">
        <v>64</v>
      </c>
      <c r="H240" t="n" s="21">
        <v>0.0187</v>
      </c>
      <c r="I240" t="n" s="18">
        <v>3229.54</v>
      </c>
      <c r="J240" t="n" s="18">
        <v>20.83</v>
      </c>
      <c r="K240" t="n" s="20">
        <v>807.38</v>
      </c>
      <c r="L240" t="n" s="21">
        <v>0.2009</v>
      </c>
      <c r="M240" t="n" s="19">
        <v>0</v>
      </c>
    </row>
    <row r="241" hidden="0" ht="15" customHeight="1" spans="1:1">
      <c r="A241" t="str" s="17">
        <f>HYPERLINK("https://amazon.com/dp/B00BOJQFLE", "B00BOJQFLE")</f>
      </c>
      <c r="B241" t="s">
        <v>255</v>
      </c>
      <c r="C241" t="s">
        <v>15</v>
      </c>
      <c r="D241" t="n" s="18">
        <v>3294.06</v>
      </c>
      <c r="E241" t="n" s="19">
        <v>9</v>
      </c>
      <c r="F241" t="n" s="20">
        <v>309.92</v>
      </c>
      <c r="G241" t="n" s="19">
        <v>193</v>
      </c>
      <c r="H241" t="n" s="21">
        <v>0.0558</v>
      </c>
      <c r="I241" t="n" s="18">
        <v>2561.44</v>
      </c>
      <c r="J241" t="n" s="18">
        <v>122.22</v>
      </c>
      <c r="K241" t="n" s="20">
        <v>284.6</v>
      </c>
      <c r="L241" t="n" s="21">
        <v>0.1848</v>
      </c>
      <c r="M241" t="n" s="19">
        <v>0</v>
      </c>
    </row>
    <row r="242" hidden="0" ht="15" customHeight="1" spans="1:1">
      <c r="A242" t="str" s="17">
        <f>HYPERLINK("https://amazon.com/dp/B00A8GVNNY", "B00A8GVNNY")</f>
      </c>
      <c r="B242" t="s">
        <v>256</v>
      </c>
      <c r="C242" t="s">
        <v>15</v>
      </c>
      <c r="D242" t="n" s="18">
        <v>3204.48</v>
      </c>
      <c r="E242" t="n" s="19">
        <v>4</v>
      </c>
      <c r="F242" t="n" s="20">
        <v>821.72</v>
      </c>
      <c r="G242" t="n" s="19">
        <v>54</v>
      </c>
      <c r="H242" t="n" s="21">
        <v>0.0138</v>
      </c>
      <c r="I242" t="n" s="18">
        <v>2300.73</v>
      </c>
      <c r="J242" t="n" s="18">
        <v>83.32</v>
      </c>
      <c r="K242" t="n" s="20">
        <v>575.18</v>
      </c>
      <c r="L242" t="n" s="21">
        <v>0.38670000000000004</v>
      </c>
      <c r="M242" t="n" s="19">
        <v>0</v>
      </c>
    </row>
    <row r="243" hidden="0" ht="15" customHeight="1" spans="1:1">
      <c r="A243" t="str" s="17">
        <f>HYPERLINK("https://amazon.com/dp/B000N79VQO", "B000N79VQO")</f>
      </c>
      <c r="B243" t="s">
        <v>257</v>
      </c>
      <c r="C243" t="s">
        <v>15</v>
      </c>
      <c r="D243" t="n" s="18">
        <v>3146.68</v>
      </c>
      <c r="E243" t="n" s="19">
        <v>2</v>
      </c>
      <c r="F243" t="n" s="20">
        <v>786.67</v>
      </c>
      <c r="G243" t="n" s="19">
        <v>39</v>
      </c>
      <c r="H243" t="n" s="21">
        <v>0.0741</v>
      </c>
      <c r="I243" t="n" s="18">
        <v>1666.42</v>
      </c>
      <c r="J243" t="n" s="18">
        <v>0</v>
      </c>
      <c r="K243" t="n" s="20">
        <v>833.21</v>
      </c>
      <c r="L243" t="n" s="21">
        <v>0.12619999999999998</v>
      </c>
      <c r="M243" t="n" s="19">
        <v>0</v>
      </c>
    </row>
    <row r="244" hidden="0" ht="15" customHeight="1" spans="1:1">
      <c r="A244" t="str" s="17">
        <f>HYPERLINK("https://amazon.com/dp/B095CLQ1PT", "B095CLQ1PT")</f>
      </c>
      <c r="B244" t="s">
        <v>258</v>
      </c>
      <c r="C244" t="s">
        <v>22</v>
      </c>
      <c r="D244" t="n" s="18">
        <v>3028.7</v>
      </c>
      <c r="E244" t="n" s="19">
        <v>1</v>
      </c>
      <c r="F244" t="n" s="20">
        <v>958.33</v>
      </c>
      <c r="G244" t="n" s="19">
        <v>65</v>
      </c>
      <c r="H244" t="n" s="21">
        <v>0.0007000000000000001</v>
      </c>
      <c r="I244" t="n" s="18">
        <v>982.48</v>
      </c>
      <c r="J244" t="n" s="18">
        <v>0</v>
      </c>
      <c r="K244" t="n" s="20">
        <v>982.48</v>
      </c>
      <c r="L244" t="n" s="21">
        <v>0.1388</v>
      </c>
      <c r="M244" t="n" s="19">
        <v>0</v>
      </c>
    </row>
    <row r="245" hidden="0" ht="15" customHeight="1" spans="1:1">
      <c r="A245" t="str" s="17">
        <f>HYPERLINK("https://amazon.com/dp/B0GVN15P4Q", "B0GVN15P4Q")</f>
      </c>
      <c r="B245" t="s">
        <v>259</v>
      </c>
      <c r="C245" t="s">
        <v>15</v>
      </c>
      <c r="D245" t="n" s="18">
        <v>2493.99</v>
      </c>
      <c r="E245" t="n" s="19">
        <v>2</v>
      </c>
      <c r="F245" t="n" s="20">
        <v>1257.41</v>
      </c>
      <c r="G245" t="n" s="19">
        <v>47</v>
      </c>
      <c r="H245" t="n" s="21">
        <v>0.0385</v>
      </c>
      <c r="I245" t="n" s="18">
        <v>2308.1</v>
      </c>
      <c r="J245" t="n" s="18">
        <v>20.83</v>
      </c>
      <c r="K245" t="n" s="20">
        <v>1154.05</v>
      </c>
      <c r="L245" t="n" s="21">
        <v>0.2345</v>
      </c>
      <c r="M245" t="n" s="19">
        <v>0</v>
      </c>
    </row>
    <row r="246" hidden="0" ht="15" customHeight="1" spans="1:1">
      <c r="A246" t="str" s="17">
        <f>HYPERLINK("https://amazon.com/dp/B07FY23LW7", "B07FY23LW7")</f>
      </c>
      <c r="B246" t="s">
        <v>260</v>
      </c>
      <c r="C246" t="s">
        <v>15</v>
      </c>
      <c r="D246" t="n" s="18">
        <v>2449.71</v>
      </c>
      <c r="E246" t="n" s="19">
        <v>1</v>
      </c>
      <c r="F246" t="n" s="20">
        <v>2449.71</v>
      </c>
      <c r="G246" t="n" s="19">
        <v>111</v>
      </c>
      <c r="H246" t="n" s="21">
        <v>0.0089</v>
      </c>
      <c r="I246" t="n" s="18">
        <v>1939.17</v>
      </c>
      <c r="J246" t="n" s="18">
        <v>0</v>
      </c>
      <c r="K246" t="n" s="20">
        <v>1939.17</v>
      </c>
      <c r="L246" t="n" s="21">
        <v>0.2084</v>
      </c>
      <c r="M246" t="n" s="19">
        <v>1</v>
      </c>
    </row>
    <row r="247" hidden="0" ht="15" customHeight="1" spans="1:1">
      <c r="A247" t="str" s="17">
        <f>HYPERLINK("https://amazon.com/dp/B0CQLKDTQD", "B0CQLKDTQD")</f>
      </c>
      <c r="B247" t="s">
        <v>261</v>
      </c>
      <c r="C247" t="s">
        <v>45</v>
      </c>
      <c r="D247" t="n" s="18">
        <v>2328.38</v>
      </c>
      <c r="E247" t="n" s="19">
        <v>1</v>
      </c>
      <c r="F247" t="n" s="20">
        <v>2328.38</v>
      </c>
      <c r="G247" t="n" s="19">
        <v>6</v>
      </c>
      <c r="H247" t="n" s="21">
        <v>0.0075</v>
      </c>
      <c r="I247" t="n" s="18">
        <v>2098.86</v>
      </c>
      <c r="J247" t="n" s="18">
        <v>0</v>
      </c>
      <c r="K247" t="n" s="20">
        <v>2098.86</v>
      </c>
      <c r="L247" t="n" s="21">
        <v>0.10310000000000001</v>
      </c>
      <c r="M247" t="n" s="19">
        <v>0</v>
      </c>
    </row>
    <row r="248" hidden="0" ht="15" customHeight="1" spans="1:1">
      <c r="A248" t="str" s="17">
        <f>HYPERLINK("https://amazon.com/dp/B0D4LL6VJW", "B0D4LL6VJW")</f>
      </c>
      <c r="B248" t="s">
        <v>262</v>
      </c>
      <c r="C248" t="s">
        <v>45</v>
      </c>
      <c r="D248" t="n" s="18">
        <v>2223.7</v>
      </c>
      <c r="E248" t="n" s="19">
        <v>1</v>
      </c>
      <c r="F248" t="n" s="20">
        <v>2223.7</v>
      </c>
      <c r="G248" t="n" s="19">
        <v>44</v>
      </c>
      <c r="H248" t="n" s="21">
        <v>0.0045000000000000005</v>
      </c>
      <c r="I248" t="n" s="18">
        <v>2880.72</v>
      </c>
      <c r="J248" t="n" s="18">
        <v>0</v>
      </c>
      <c r="K248" t="n" s="20">
        <v>2880.72</v>
      </c>
      <c r="L248" t="n" s="21">
        <v>-0.0688</v>
      </c>
      <c r="M248" t="n" s="19">
        <v>0</v>
      </c>
    </row>
    <row r="249" hidden="0" ht="15" customHeight="1" spans="1:1">
      <c r="A249" t="str" s="17">
        <f>HYPERLINK("https://amazon.com/dp/B0GVYW6H1X", "B0GVYW6H1X")</f>
      </c>
      <c r="B249" t="s">
        <v>263</v>
      </c>
      <c r="C249" t="s">
        <v>45</v>
      </c>
      <c r="D249" t="n" s="18">
        <v>2211.77</v>
      </c>
      <c r="E249" t="n" s="19">
        <v>1</v>
      </c>
      <c r="F249" t="n" s="20">
        <v>2211.77</v>
      </c>
      <c r="G249" t="n" s="19">
        <v>19</v>
      </c>
      <c r="H249" t="n" s="21">
        <v>0.0233</v>
      </c>
      <c r="I249" t="n" s="18">
        <v>2183.63</v>
      </c>
      <c r="J249" t="n" s="18">
        <v>0</v>
      </c>
      <c r="K249" t="n" s="20">
        <v>2183.63</v>
      </c>
      <c r="L249" t="n" s="21">
        <v>0.1855</v>
      </c>
      <c r="M249" t="n" s="19">
        <v>1</v>
      </c>
    </row>
    <row r="250" hidden="0" ht="15" customHeight="1" spans="1:1">
      <c r="A250" t="str" s="17">
        <f>HYPERLINK("https://amazon.com/dp/B09NC4SSSQ", "B09NC4SSSQ")</f>
      </c>
      <c r="B250" t="s">
        <v>264</v>
      </c>
      <c r="C250" t="s">
        <v>15</v>
      </c>
      <c r="D250" t="n" s="18">
        <v>2207.5</v>
      </c>
      <c r="E250" t="n" s="19">
        <v>1</v>
      </c>
      <c r="F250" t="n" s="20">
        <v>2207.5</v>
      </c>
      <c r="G250" t="n" s="19">
        <v>2</v>
      </c>
      <c r="H250" t="n" s="21">
        <v>0.002</v>
      </c>
      <c r="I250" t="n" s="18">
        <v>0</v>
      </c>
      <c r="J250" t="n" s="18">
        <v>0</v>
      </c>
      <c r="K250" t="n" s="20">
        <v>0</v>
      </c>
      <c r="L250" t="n" s="21">
        <v>1</v>
      </c>
      <c r="M250" t="n" s="19">
        <v>0</v>
      </c>
    </row>
    <row r="251" hidden="0" ht="15" customHeight="1" spans="1:1">
      <c r="A251" t="str" s="17">
        <f>HYPERLINK("https://amazon.com/dp/B09QFZSB7M", "B09QFZSB7M")</f>
      </c>
      <c r="B251" t="s">
        <v>265</v>
      </c>
      <c r="C251" t="s">
        <v>15</v>
      </c>
      <c r="D251" t="n" s="18">
        <v>1984.42</v>
      </c>
      <c r="E251" t="n" s="19">
        <v>2</v>
      </c>
      <c r="F251" t="n" s="20">
        <v>1002.62</v>
      </c>
      <c r="G251" t="n" s="19">
        <v>178</v>
      </c>
      <c r="H251" t="n" s="21">
        <v>0.011200000000000002</v>
      </c>
      <c r="I251" t="n" s="18">
        <v>1960.86</v>
      </c>
      <c r="J251" t="n" s="18">
        <v>20.83</v>
      </c>
      <c r="K251" t="n" s="20">
        <v>980.43</v>
      </c>
      <c r="L251" t="n" s="21">
        <v>0.18289999999999998</v>
      </c>
      <c r="M251" t="n" s="19">
        <v>1</v>
      </c>
    </row>
    <row r="252" hidden="0" ht="15" customHeight="1" spans="1:1">
      <c r="A252" t="str" s="17">
        <f>HYPERLINK("https://amazon.com/dp/B00172Q5M2", "B00172Q5M2")</f>
      </c>
      <c r="B252" t="s">
        <v>266</v>
      </c>
      <c r="C252" t="s">
        <v>15</v>
      </c>
      <c r="D252" t="n" s="18">
        <v>1909.67</v>
      </c>
      <c r="E252" t="n" s="19">
        <v>3</v>
      </c>
      <c r="F252" t="n" s="20">
        <v>658.51</v>
      </c>
      <c r="G252" t="n" s="19">
        <v>83</v>
      </c>
      <c r="H252" t="n" s="21">
        <v>0.035699999999999996</v>
      </c>
      <c r="I252" t="n" s="18">
        <v>1946.56</v>
      </c>
      <c r="J252" t="n" s="18">
        <v>65.86</v>
      </c>
      <c r="K252" t="n" s="20">
        <v>648.85</v>
      </c>
      <c r="L252" t="n" s="21">
        <v>0.139</v>
      </c>
      <c r="M252" t="n" s="19">
        <v>0</v>
      </c>
    </row>
    <row r="253" hidden="0" ht="15" customHeight="1" spans="1:1">
      <c r="A253" t="str" s="17">
        <f>HYPERLINK("https://amazon.com/dp/B006BSPTAQ", "B006BSPTAQ")</f>
      </c>
      <c r="B253" t="s">
        <v>267</v>
      </c>
      <c r="C253" t="s">
        <v>15</v>
      </c>
      <c r="D253" t="n" s="18">
        <v>1863</v>
      </c>
      <c r="E253" t="n" s="19">
        <v>3</v>
      </c>
      <c r="F253" t="n" s="20">
        <v>621</v>
      </c>
      <c r="G253" t="n" s="19">
        <v>53</v>
      </c>
      <c r="H253" t="n" s="21">
        <v>0.0556</v>
      </c>
      <c r="I253" t="n" s="18">
        <v>1503.36</v>
      </c>
      <c r="J253" t="n" s="18">
        <v>0</v>
      </c>
      <c r="K253" t="n" s="20">
        <v>501.12</v>
      </c>
      <c r="L253" t="n" s="21">
        <v>0.3222</v>
      </c>
      <c r="M253" t="n" s="19">
        <v>0</v>
      </c>
    </row>
    <row r="254" hidden="0" ht="15" customHeight="1" spans="1:1">
      <c r="A254" t="str" s="17">
        <f>HYPERLINK("https://amazon.com/dp/B087RZVBQW", "B087RZVBQW")</f>
      </c>
      <c r="B254" t="s">
        <v>268</v>
      </c>
      <c r="C254" t="s">
        <v>22</v>
      </c>
      <c r="D254" t="n" s="18">
        <v>1860.18</v>
      </c>
      <c r="E254" t="n" s="19">
        <v>6</v>
      </c>
      <c r="F254" t="n" s="20">
        <v>307.5</v>
      </c>
      <c r="G254" t="n" s="19">
        <v>252</v>
      </c>
      <c r="H254" t="n" s="21">
        <v>0.0076</v>
      </c>
      <c r="I254" t="n" s="18">
        <v>1704.27</v>
      </c>
      <c r="J254" t="n" s="18">
        <v>27.69</v>
      </c>
      <c r="K254" t="n" s="20">
        <v>284.05</v>
      </c>
      <c r="L254" t="n" s="21">
        <v>0.18530000000000002</v>
      </c>
      <c r="M254" t="n" s="19">
        <v>4</v>
      </c>
    </row>
    <row r="255" hidden="0" ht="15" customHeight="1" spans="1:1">
      <c r="A255" t="str" s="17">
        <f>HYPERLINK("https://amazon.com/dp/B0783PHTJJ", "B0783PHTJJ")</f>
      </c>
      <c r="B255" t="s">
        <v>269</v>
      </c>
      <c r="C255" t="s">
        <v>15</v>
      </c>
      <c r="D255" t="n" s="18">
        <v>1765</v>
      </c>
      <c r="E255" t="n" s="19">
        <v>2</v>
      </c>
      <c r="F255" t="n" s="20">
        <v>882.5</v>
      </c>
      <c r="G255" t="n" s="19">
        <v>28</v>
      </c>
      <c r="H255" t="n" s="21">
        <v>0.0118</v>
      </c>
      <c r="I255" t="n" s="18">
        <v>1790.74</v>
      </c>
      <c r="J255" t="n" s="18">
        <v>0</v>
      </c>
      <c r="K255" t="n" s="20">
        <v>895.37</v>
      </c>
      <c r="L255" t="n" s="21">
        <v>0.06309999999999999</v>
      </c>
      <c r="M255" t="n" s="19">
        <v>0</v>
      </c>
    </row>
    <row r="256" hidden="0" ht="15" customHeight="1" spans="1:1">
      <c r="A256" t="str" s="17">
        <f>HYPERLINK("https://amazon.com/dp/B0D92F5HX4", "B0D92F5HX4")</f>
      </c>
      <c r="B256" t="s">
        <v>270</v>
      </c>
      <c r="C256" t="s">
        <v>45</v>
      </c>
      <c r="D256" t="n" s="18">
        <v>1718.54</v>
      </c>
      <c r="E256" t="n" s="19">
        <v>5</v>
      </c>
      <c r="F256" t="n" s="20">
        <v>350.72</v>
      </c>
      <c r="G256" t="n" s="19">
        <v>101</v>
      </c>
      <c r="H256" t="n" s="21">
        <v>0.0373</v>
      </c>
      <c r="I256" t="n" s="18">
        <v>1883.49</v>
      </c>
      <c r="J256" t="n" s="18">
        <v>35.06</v>
      </c>
      <c r="K256" t="n" s="20">
        <v>376.7</v>
      </c>
      <c r="L256" t="n" s="21">
        <v>0.0909</v>
      </c>
      <c r="M256" t="n" s="19">
        <v>0</v>
      </c>
    </row>
    <row r="257" hidden="0" ht="15" customHeight="1" spans="1:1">
      <c r="A257" t="str" s="17">
        <f>HYPERLINK("https://amazon.com/dp/B00HNFP4HO", "B00HNFP4HO")</f>
      </c>
      <c r="B257" t="s">
        <v>271</v>
      </c>
      <c r="C257" t="s">
        <v>15</v>
      </c>
      <c r="D257" t="n" s="18">
        <v>1374.38</v>
      </c>
      <c r="E257" t="n" s="19">
        <v>3</v>
      </c>
      <c r="F257" t="n" s="20">
        <v>458.13</v>
      </c>
      <c r="G257" t="n" s="19">
        <v>124</v>
      </c>
      <c r="H257" t="n" s="21">
        <v>0.006</v>
      </c>
      <c r="I257" t="n" s="18">
        <v>1223.5</v>
      </c>
      <c r="J257" t="n" s="18">
        <v>0</v>
      </c>
      <c r="K257" t="n" s="20">
        <v>407.83</v>
      </c>
      <c r="L257" t="n" s="21">
        <v>0.2721</v>
      </c>
      <c r="M257" t="n" s="19">
        <v>1</v>
      </c>
    </row>
    <row r="258" hidden="0" ht="15" customHeight="1" spans="1:1">
      <c r="A258" t="str" s="17">
        <f>HYPERLINK("https://amazon.com/dp/B0DK5SQ87G", "B0DK5SQ87G")</f>
      </c>
      <c r="B258" t="s">
        <v>272</v>
      </c>
      <c r="C258" t="s">
        <v>22</v>
      </c>
      <c r="D258" t="n" s="18">
        <v>1297.04</v>
      </c>
      <c r="E258" t="n" s="19">
        <v>2</v>
      </c>
      <c r="F258" t="n" s="20">
        <v>682.65</v>
      </c>
      <c r="G258" t="n" s="19">
        <v>4</v>
      </c>
      <c r="H258" t="n" s="21">
        <v>0.1</v>
      </c>
      <c r="I258" t="n" s="18">
        <v>1033.15</v>
      </c>
      <c r="J258" t="n" s="18">
        <v>68.26</v>
      </c>
      <c r="K258" t="n" s="20">
        <v>516.58</v>
      </c>
      <c r="L258" t="n" s="21">
        <v>0.3144</v>
      </c>
      <c r="M258" t="n" s="19">
        <v>0</v>
      </c>
    </row>
    <row r="259" hidden="0" ht="15" customHeight="1" spans="1:1">
      <c r="A259" t="str" s="17">
        <f>HYPERLINK("https://amazon.com/dp/B07DYWS92W", "B07DYWS92W")</f>
      </c>
      <c r="B259" t="s">
        <v>273</v>
      </c>
      <c r="C259" t="s">
        <v>15</v>
      </c>
      <c r="D259" t="n" s="18">
        <v>1253.34</v>
      </c>
      <c r="E259" t="n" s="19">
        <v>1</v>
      </c>
      <c r="F259" t="n" s="20">
        <v>1274.17</v>
      </c>
      <c r="G259" t="n" s="19">
        <v>5</v>
      </c>
      <c r="H259" t="n" s="21">
        <v>0.125</v>
      </c>
      <c r="I259" t="n" s="18">
        <v>0</v>
      </c>
      <c r="J259" t="n" s="18">
        <v>20.83</v>
      </c>
      <c r="K259" t="n" s="20">
        <v>0</v>
      </c>
      <c r="L259" t="n" s="21">
        <v>0.9837</v>
      </c>
      <c r="M259" t="n" s="19">
        <v>0</v>
      </c>
    </row>
    <row r="260" hidden="0" ht="15" customHeight="1" spans="1:1">
      <c r="A260" t="str" s="17">
        <f>HYPERLINK("https://amazon.com/dp/B0FZ439BD1", "B0FZ439BD1")</f>
      </c>
      <c r="B260" t="s">
        <v>274</v>
      </c>
      <c r="C260" t="s">
        <v>45</v>
      </c>
      <c r="D260" t="n" s="18">
        <v>1086.67</v>
      </c>
      <c r="E260" t="n" s="19">
        <v>1</v>
      </c>
      <c r="F260" t="n" s="20">
        <v>1107.5</v>
      </c>
      <c r="G260" t="n" s="19">
        <v>192</v>
      </c>
      <c r="H260" t="n" s="21">
        <v>0.0051</v>
      </c>
      <c r="I260" t="n" s="18">
        <v>1095.86</v>
      </c>
      <c r="J260" t="n" s="18">
        <v>20.83</v>
      </c>
      <c r="K260" t="n" s="20">
        <v>1095.86</v>
      </c>
      <c r="L260" t="n" s="21">
        <v>0.1649</v>
      </c>
      <c r="M260" t="n" s="19">
        <v>0</v>
      </c>
    </row>
    <row r="261" hidden="0" ht="15" customHeight="1" spans="1:1">
      <c r="A261" t="str" s="17">
        <f>HYPERLINK("https://amazon.com/dp/B00V4BGE7C", "B00V4BGE7C")</f>
      </c>
      <c r="B261" t="s">
        <v>275</v>
      </c>
      <c r="C261" t="s">
        <v>15</v>
      </c>
      <c r="D261" t="n" s="18">
        <v>1042.37</v>
      </c>
      <c r="E261" t="n" s="19">
        <v>1</v>
      </c>
      <c r="F261" t="n" s="20">
        <v>1042.37</v>
      </c>
      <c r="G261" t="n" s="19">
        <v>9</v>
      </c>
      <c r="H261" t="n" s="21">
        <v>0.0125</v>
      </c>
      <c r="I261" t="n" s="18">
        <v>0</v>
      </c>
      <c r="J261" t="n" s="18">
        <v>0</v>
      </c>
      <c r="K261" t="n" s="20">
        <v>0</v>
      </c>
      <c r="L261" t="n" s="21">
        <v>1</v>
      </c>
      <c r="M261" t="n" s="19">
        <v>0</v>
      </c>
    </row>
    <row r="262" hidden="0" ht="15" customHeight="1" spans="1:1">
      <c r="A262" t="str" s="17">
        <f>HYPERLINK("https://amazon.com/dp/B0GVZ4Z8S9", "B0GVZ4Z8S9")</f>
      </c>
      <c r="B262" t="s">
        <v>276</v>
      </c>
      <c r="C262" t="s">
        <v>22</v>
      </c>
      <c r="D262" t="n" s="18">
        <v>1000.99</v>
      </c>
      <c r="E262" t="n" s="19">
        <v>1</v>
      </c>
      <c r="F262" t="n" s="20">
        <v>1000.99</v>
      </c>
      <c r="G262" t="n" s="19">
        <v>9</v>
      </c>
      <c r="H262" t="n" s="21">
        <v>0.0009</v>
      </c>
      <c r="I262" t="n" s="18">
        <v>916.2</v>
      </c>
      <c r="J262" t="n" s="18">
        <v>0</v>
      </c>
      <c r="K262" t="n" s="20">
        <v>916.2</v>
      </c>
      <c r="L262" t="n" s="21">
        <v>0.24489999999999998</v>
      </c>
      <c r="M262" t="n" s="19">
        <v>0</v>
      </c>
    </row>
    <row r="263" hidden="0" ht="15" customHeight="1" spans="1:1">
      <c r="A263" t="str" s="17">
        <f>HYPERLINK("https://amazon.com/dp/B0CHFG2FQG", "B0CHFG2FQG")</f>
      </c>
      <c r="B263" t="s">
        <v>277</v>
      </c>
      <c r="C263" t="s">
        <v>15</v>
      </c>
      <c r="D263" t="n" s="18">
        <v>1000.29</v>
      </c>
      <c r="E263" t="n" s="19">
        <v>1</v>
      </c>
      <c r="F263" t="n" s="20">
        <v>1000.29</v>
      </c>
      <c r="G263" t="n" s="19">
        <v>80</v>
      </c>
      <c r="H263" t="n" s="21">
        <v>0.0044</v>
      </c>
      <c r="I263" t="n" s="18">
        <v>833.21</v>
      </c>
      <c r="J263" t="n" s="18">
        <v>0</v>
      </c>
      <c r="K263" t="n" s="20">
        <v>833.21</v>
      </c>
      <c r="L263" t="n" s="21">
        <v>0.3128</v>
      </c>
      <c r="M263" t="n" s="19">
        <v>0</v>
      </c>
    </row>
    <row r="264" hidden="0" ht="15" customHeight="1" spans="1:1">
      <c r="A264" t="str" s="17">
        <f>HYPERLINK("https://amazon.com/dp/B00TQEX8BO", "B00TQEX8BO")</f>
      </c>
      <c r="B264" t="s">
        <v>278</v>
      </c>
      <c r="C264" t="s">
        <v>15</v>
      </c>
      <c r="D264" t="n" s="18">
        <v>922.68</v>
      </c>
      <c r="E264" t="n" s="19">
        <v>1</v>
      </c>
      <c r="F264" t="n" s="20">
        <v>922.68</v>
      </c>
      <c r="G264" t="n" s="19">
        <v>13</v>
      </c>
      <c r="H264" t="n" s="21">
        <v>0.0123</v>
      </c>
      <c r="I264" t="n" s="18">
        <v>0</v>
      </c>
      <c r="J264" t="n" s="18">
        <v>0</v>
      </c>
      <c r="K264" t="n" s="20">
        <v>0</v>
      </c>
      <c r="L264" t="n" s="21">
        <v>1</v>
      </c>
      <c r="M264" t="n" s="19">
        <v>0</v>
      </c>
    </row>
    <row r="265" hidden="0" ht="15" customHeight="1" spans="1:1">
      <c r="A265" t="str" s="17">
        <f>HYPERLINK("https://amazon.com/dp/B0BCWNBNTK", "B0BCWNBNTK")</f>
      </c>
      <c r="B265" t="s">
        <v>279</v>
      </c>
      <c r="C265" t="s">
        <v>22</v>
      </c>
      <c r="D265" t="n" s="18">
        <v>790.87</v>
      </c>
      <c r="E265" t="n" s="19">
        <v>1</v>
      </c>
      <c r="F265" t="n" s="20">
        <v>790.87</v>
      </c>
      <c r="G265" t="n" s="19">
        <v>3</v>
      </c>
      <c r="H265" t="n" s="21">
        <v>0.0005</v>
      </c>
      <c r="I265" t="n" s="18">
        <v>0</v>
      </c>
      <c r="J265" t="n" s="18">
        <v>0</v>
      </c>
      <c r="K265" t="n" s="20">
        <v>0</v>
      </c>
      <c r="L265" t="n" s="21">
        <v>1</v>
      </c>
      <c r="M265" t="n" s="19">
        <v>0</v>
      </c>
    </row>
    <row r="266" hidden="0" ht="15" customHeight="1" spans="1:1">
      <c r="A266" t="str" s="17">
        <f>HYPERLINK("https://amazon.com/dp/B0DQPPZTJY", "B0DQPPZTJY")</f>
      </c>
      <c r="B266" t="s">
        <v>280</v>
      </c>
      <c r="C266" t="s">
        <v>15</v>
      </c>
      <c r="D266" t="n" s="18">
        <v>783.83</v>
      </c>
      <c r="E266" t="n" s="19">
        <v>2</v>
      </c>
      <c r="F266" t="n" s="20">
        <v>227.59</v>
      </c>
      <c r="G266" t="n" s="19">
        <v>147</v>
      </c>
      <c r="H266" t="n" s="21">
        <v>0.0216</v>
      </c>
      <c r="I266" t="n" s="18">
        <v>425.1</v>
      </c>
      <c r="J266" t="n" s="18">
        <v>45.53</v>
      </c>
      <c r="K266" t="n" s="20">
        <v>212.55</v>
      </c>
      <c r="L266" t="n" s="21">
        <v>0.1155</v>
      </c>
      <c r="M266" t="n" s="19">
        <v>0</v>
      </c>
    </row>
    <row r="267" hidden="0" ht="15" customHeight="1" spans="1:1">
      <c r="A267" t="str" s="17">
        <f>HYPERLINK("https://amazon.com/dp/B001PS4NWW", "B001PS4NWW")</f>
      </c>
      <c r="B267" t="s">
        <v>281</v>
      </c>
      <c r="C267" t="s">
        <v>15</v>
      </c>
      <c r="D267" t="n" s="18">
        <v>634.87</v>
      </c>
      <c r="E267" t="n" s="19">
        <v>1</v>
      </c>
      <c r="F267" t="n" s="20">
        <v>634.87</v>
      </c>
      <c r="G267" t="n" s="19">
        <v>0</v>
      </c>
      <c r="H267" t="n" s="21">
        <v>0</v>
      </c>
      <c r="I267" t="n" s="18">
        <v>385.91</v>
      </c>
      <c r="J267" t="n" s="18">
        <v>0</v>
      </c>
      <c r="K267" t="n" s="20">
        <v>385.91</v>
      </c>
      <c r="L267" t="n" s="21">
        <v>0.4985</v>
      </c>
      <c r="M267" t="n" s="19">
        <v>0</v>
      </c>
    </row>
    <row r="268" hidden="0" ht="15" customHeight="1" spans="1:1">
      <c r="A268" t="str" s="17">
        <f>HYPERLINK("https://amazon.com/dp/B09KRVN7XG", "B09KRVN7XG")</f>
      </c>
      <c r="B268" t="s">
        <v>282</v>
      </c>
      <c r="C268" t="s">
        <v>22</v>
      </c>
      <c r="D268" t="n" s="18">
        <v>615</v>
      </c>
      <c r="E268" t="n" s="19">
        <v>0</v>
      </c>
      <c r="F268" t="n" s="20">
        <v>0</v>
      </c>
      <c r="G268" t="n" s="19">
        <v>5</v>
      </c>
      <c r="H268" t="n" s="21">
        <v>0.0222</v>
      </c>
      <c r="I268" t="n" s="18">
        <v>0</v>
      </c>
      <c r="J268" t="n" s="18">
        <v>0</v>
      </c>
      <c r="K268" t="n" s="20">
        <v>0</v>
      </c>
      <c r="L268" t="n" s="21">
        <v>0</v>
      </c>
      <c r="M268" t="n" s="19">
        <v>0</v>
      </c>
    </row>
    <row r="269" hidden="0" ht="15" customHeight="1" spans="1:1">
      <c r="A269" t="str" s="17">
        <f>HYPERLINK("https://amazon.com/dp/B0D4LPG5G5", "B0D4LPG5G5")</f>
      </c>
      <c r="B269" t="s">
        <v>283</v>
      </c>
      <c r="C269" t="s">
        <v>45</v>
      </c>
      <c r="D269" t="n" s="18">
        <v>581.66</v>
      </c>
      <c r="E269" t="n" s="19">
        <v>3</v>
      </c>
      <c r="F269" t="n" s="20">
        <v>290.83</v>
      </c>
      <c r="G269" t="n" s="19">
        <v>81</v>
      </c>
      <c r="H269" t="n" s="21">
        <v>0.0206</v>
      </c>
      <c r="I269" t="n" s="18">
        <v>895.23</v>
      </c>
      <c r="J269" t="n" s="18">
        <v>0</v>
      </c>
      <c r="K269" t="n" s="20">
        <v>298.41</v>
      </c>
      <c r="L269" t="n" s="21">
        <v>0.1535</v>
      </c>
      <c r="M269" t="n" s="19">
        <v>0</v>
      </c>
    </row>
    <row r="270" hidden="0" ht="15" customHeight="1" spans="1:1">
      <c r="A270" t="str" s="17">
        <f>HYPERLINK("https://amazon.com/dp/B0B6CHGK25", "B0B6CHGK25")</f>
      </c>
      <c r="B270" t="s">
        <v>284</v>
      </c>
      <c r="C270" t="s">
        <v>22</v>
      </c>
      <c r="D270" t="n" s="18">
        <v>524.6</v>
      </c>
      <c r="E270" t="n" s="19">
        <v>1</v>
      </c>
      <c r="F270" t="n" s="20">
        <v>540.83</v>
      </c>
      <c r="G270" t="n" s="19">
        <v>9</v>
      </c>
      <c r="H270" t="n" s="21">
        <v>0.0085</v>
      </c>
      <c r="I270" t="n" s="18">
        <v>0</v>
      </c>
      <c r="J270" t="n" s="18">
        <v>16.23</v>
      </c>
      <c r="K270" t="n" s="20">
        <v>0</v>
      </c>
      <c r="L270" t="n" s="21">
        <v>0.97</v>
      </c>
      <c r="M270" t="n" s="19">
        <v>0</v>
      </c>
    </row>
    <row r="271" hidden="0" ht="15" customHeight="1" spans="1:1">
      <c r="A271" t="str" s="17">
        <f>HYPERLINK("https://amazon.com/dp/B0FJLPX3GZ", "B0FJLPX3GZ")</f>
      </c>
      <c r="B271" t="s">
        <v>285</v>
      </c>
      <c r="C271" t="s">
        <v>15</v>
      </c>
      <c r="D271" t="n" s="18">
        <v>494.42</v>
      </c>
      <c r="E271" t="n" s="19">
        <v>1</v>
      </c>
      <c r="F271" t="n" s="20">
        <v>509.71</v>
      </c>
      <c r="G271" t="n" s="19">
        <v>49</v>
      </c>
      <c r="H271" t="n" s="21">
        <v>0.0125</v>
      </c>
      <c r="I271" t="n" s="18">
        <v>482.21</v>
      </c>
      <c r="J271" t="n" s="18">
        <v>15.29</v>
      </c>
      <c r="K271" t="n" s="20">
        <v>482.21</v>
      </c>
      <c r="L271" t="n" s="21">
        <v>0.1895</v>
      </c>
      <c r="M271" t="n" s="19">
        <v>0</v>
      </c>
    </row>
    <row r="272" hidden="0" ht="15" customHeight="1" spans="1:1">
      <c r="A272" t="str" s="17">
        <f>HYPERLINK("https://amazon.com/dp/B08QRPVW9S", "B08QRPVW9S")</f>
      </c>
      <c r="B272" t="s">
        <v>286</v>
      </c>
      <c r="C272" t="s">
        <v>22</v>
      </c>
      <c r="D272" t="n" s="18">
        <v>484.19</v>
      </c>
      <c r="E272" t="n" s="19">
        <v>1</v>
      </c>
      <c r="F272" t="n" s="20">
        <v>499.17</v>
      </c>
      <c r="G272" t="n" s="19">
        <v>12</v>
      </c>
      <c r="H272" t="n" s="21">
        <v>0.006500000000000001</v>
      </c>
      <c r="I272" t="n" s="18">
        <v>0</v>
      </c>
      <c r="J272" t="n" s="18">
        <v>14.98</v>
      </c>
      <c r="K272" t="n" s="20">
        <v>0</v>
      </c>
      <c r="L272" t="n" s="21">
        <v>0.97</v>
      </c>
      <c r="M272" t="n" s="19">
        <v>0</v>
      </c>
    </row>
    <row r="273" hidden="0" ht="15" customHeight="1" spans="1:1">
      <c r="A273" t="str" s="17">
        <f>HYPERLINK("https://amazon.com/dp/B0FC2KK4KZ", "B0FC2KK4KZ")</f>
      </c>
      <c r="B273" t="s">
        <v>287</v>
      </c>
      <c r="C273" t="s">
        <v>22</v>
      </c>
      <c r="D273" t="n" s="18">
        <v>481.69</v>
      </c>
      <c r="E273" t="n" s="19">
        <v>0</v>
      </c>
      <c r="F273" t="n" s="20">
        <v>0</v>
      </c>
      <c r="G273" t="n" s="19">
        <v>3</v>
      </c>
      <c r="H273" t="n" s="21">
        <v>0.0078000000000000005</v>
      </c>
      <c r="I273" t="n" s="18">
        <v>0</v>
      </c>
      <c r="J273" t="n" s="18">
        <v>0</v>
      </c>
      <c r="K273" t="n" s="20">
        <v>0</v>
      </c>
      <c r="L273" t="n" s="21">
        <v>0</v>
      </c>
      <c r="M273" t="n" s="19">
        <v>0</v>
      </c>
    </row>
    <row r="274" hidden="0" ht="15" customHeight="1" spans="1:1">
      <c r="A274" t="str" s="17">
        <f>HYPERLINK("https://amazon.com/dp/B019RS0VTA", "B019RS0VTA")</f>
      </c>
      <c r="B274" t="s">
        <v>288</v>
      </c>
      <c r="C274" t="s">
        <v>15</v>
      </c>
      <c r="D274" t="n" s="18">
        <v>107.5</v>
      </c>
      <c r="E274" t="n" s="19">
        <v>1</v>
      </c>
      <c r="F274" t="n" s="20">
        <v>107.5</v>
      </c>
      <c r="G274" t="n" s="19">
        <v>145</v>
      </c>
      <c r="H274" t="n" s="21">
        <v>0.002</v>
      </c>
      <c r="I274" t="n" s="18">
        <v>0</v>
      </c>
      <c r="J274" t="n" s="18">
        <v>0</v>
      </c>
      <c r="K274" t="n" s="20">
        <v>0</v>
      </c>
      <c r="L274" t="n" s="21">
        <v>1</v>
      </c>
      <c r="M274" t="n" s="19">
        <v>0</v>
      </c>
    </row>
    <row r="275" hidden="0" ht="15" customHeight="1" spans="1:1">
      <c r="A275" t="str" s="17">
        <f>HYPERLINK("https://amazon.com/dp/B08GFGG888", "B08GFGG888")</f>
      </c>
      <c r="B275" t="s">
        <v>289</v>
      </c>
      <c r="C275" t="s">
        <v>15</v>
      </c>
      <c r="D275" t="n" s="18">
        <v>41.58</v>
      </c>
      <c r="E275" t="n" s="19">
        <v>0</v>
      </c>
      <c r="F275" t="n" s="20">
        <v>0</v>
      </c>
      <c r="G275" t="n" s="19">
        <v>1177</v>
      </c>
      <c r="H275" t="n" s="21">
        <v>0</v>
      </c>
      <c r="I275" t="n" s="18">
        <v>0</v>
      </c>
      <c r="J275" t="n" s="18">
        <v>0</v>
      </c>
      <c r="K275" t="n" s="20">
        <v>0</v>
      </c>
      <c r="L275" t="n" s="21">
        <v>0</v>
      </c>
      <c r="M275" t="n" s="19">
        <v>0</v>
      </c>
    </row>
    <row r="276" hidden="0" ht="15" customHeight="1" spans="1:1">
      <c r="A276" t="str" s="17">
        <f>HYPERLINK("https://amazon.com/dp/B08HKV28ZR", "B08HKV28ZR")</f>
      </c>
      <c r="B276" t="s">
        <v>290</v>
      </c>
      <c r="C276" t="s">
        <v>22</v>
      </c>
      <c r="D276" t="n" s="18">
        <v>0</v>
      </c>
      <c r="E276" t="n" s="19">
        <v>0</v>
      </c>
      <c r="F276" t="n" s="20">
        <v>0</v>
      </c>
      <c r="G276" t="n" s="19">
        <v>0</v>
      </c>
      <c r="H276" t="n" s="21">
        <v>0</v>
      </c>
      <c r="I276" t="n" s="18">
        <v>0</v>
      </c>
      <c r="J276" t="n" s="18">
        <v>0</v>
      </c>
      <c r="K276" t="n" s="20">
        <v>0</v>
      </c>
      <c r="L276" t="n" s="21">
        <v>0</v>
      </c>
      <c r="M276" t="n" s="19">
        <v>0</v>
      </c>
    </row>
    <row r="277" hidden="0" ht="15" customHeight="1" spans="1:1">
      <c r="A277" t="str" s="17">
        <f>HYPERLINK("https://amazon.com/dp/B079GZNQ2B", "B079GZNQ2B")</f>
      </c>
      <c r="B277" t="s">
        <v>291</v>
      </c>
      <c r="C277" t="s">
        <v>15</v>
      </c>
      <c r="D277" t="n" s="18">
        <v>0</v>
      </c>
      <c r="E277" t="n" s="19">
        <v>0</v>
      </c>
      <c r="F277" t="n" s="20">
        <v>0</v>
      </c>
      <c r="G277" t="n" s="19">
        <v>59</v>
      </c>
      <c r="H277" t="n" s="21">
        <v>0</v>
      </c>
      <c r="I277" t="n" s="18">
        <v>0</v>
      </c>
      <c r="J277" t="n" s="18">
        <v>0</v>
      </c>
      <c r="K277" t="n" s="20">
        <v>0</v>
      </c>
      <c r="L277" t="n" s="21">
        <v>0</v>
      </c>
      <c r="M277" t="n" s="19">
        <v>1</v>
      </c>
    </row>
    <row r="278" hidden="0" ht="15" customHeight="1" spans="1:1">
      <c r="A278" t="str" s="17">
        <f>HYPERLINK("https://amazon.com/dp/B01M1VAY45", "B01M1VAY45")</f>
      </c>
      <c r="B278" t="s">
        <v>292</v>
      </c>
      <c r="C278" t="s">
        <v>15</v>
      </c>
      <c r="D278" t="n" s="18">
        <v>0</v>
      </c>
      <c r="E278" t="n" s="19">
        <v>0</v>
      </c>
      <c r="F278" t="n" s="20">
        <v>0</v>
      </c>
      <c r="G278" t="n" s="19">
        <v>178</v>
      </c>
      <c r="H278" t="n" s="21">
        <v>0</v>
      </c>
      <c r="I278" t="n" s="18">
        <v>0</v>
      </c>
      <c r="J278" t="n" s="18">
        <v>0</v>
      </c>
      <c r="K278" t="n" s="20">
        <v>0</v>
      </c>
      <c r="L278" t="n" s="21">
        <v>0</v>
      </c>
      <c r="M278" t="n" s="19">
        <v>1</v>
      </c>
    </row>
    <row r="279" hidden="0" ht="15" customHeight="1" spans="1:1">
      <c r="A279" t="str" s="17">
        <f>HYPERLINK("https://amazon.com/dp/B0CG9MBCYR", "B0CG9MBCYR")</f>
      </c>
      <c r="B279" t="s">
        <v>293</v>
      </c>
      <c r="C279" t="s">
        <v>22</v>
      </c>
      <c r="D279" t="n" s="18">
        <v>0</v>
      </c>
      <c r="E279" t="n" s="19">
        <v>0</v>
      </c>
      <c r="F279" t="n" s="20">
        <v>0</v>
      </c>
      <c r="G279" t="n" s="19">
        <v>0</v>
      </c>
      <c r="H279" t="n" s="21">
        <v>0</v>
      </c>
      <c r="I279" t="n" s="18">
        <v>0</v>
      </c>
      <c r="J279" t="n" s="18">
        <v>0</v>
      </c>
      <c r="K279" t="n" s="20">
        <v>0</v>
      </c>
      <c r="L279" t="n" s="21">
        <v>0</v>
      </c>
      <c r="M279" t="n" s="19">
        <v>0</v>
      </c>
    </row>
    <row r="280" hidden="0" ht="15" customHeight="1" spans="1:1">
      <c r="A280" t="str" s="17">
        <f>HYPERLINK("https://amazon.com/dp/B095SYK1R9", "B095SYK1R9")</f>
      </c>
      <c r="B280" t="s">
        <v>294</v>
      </c>
      <c r="C280" t="s">
        <v>15</v>
      </c>
      <c r="D280" t="n" s="18">
        <v>0</v>
      </c>
      <c r="E280" t="n" s="19">
        <v>0</v>
      </c>
      <c r="F280" t="n" s="20">
        <v>0</v>
      </c>
      <c r="G280" t="n" s="19">
        <v>0</v>
      </c>
      <c r="H280" t="n" s="21">
        <v>0</v>
      </c>
      <c r="I280" t="n" s="18">
        <v>0</v>
      </c>
      <c r="J280" t="n" s="18">
        <v>0</v>
      </c>
      <c r="K280" t="n" s="20">
        <v>0</v>
      </c>
      <c r="L280" t="n" s="21">
        <v>0</v>
      </c>
      <c r="M280" t="n" s="19">
        <v>0</v>
      </c>
    </row>
    <row r="281" hidden="0" ht="15" customHeight="1" spans="1:1">
      <c r="A281" t="str" s="17">
        <f>HYPERLINK("https://amazon.com/dp/B09DL5K9PP", "B09DL5K9PP")</f>
      </c>
      <c r="B281" t="s">
        <v>295</v>
      </c>
      <c r="C281" t="s">
        <v>15</v>
      </c>
      <c r="D281" t="n" s="18">
        <v>0</v>
      </c>
      <c r="E281" t="n" s="19">
        <v>0</v>
      </c>
      <c r="F281" t="n" s="20">
        <v>0</v>
      </c>
      <c r="G281" t="n" s="19">
        <v>0</v>
      </c>
      <c r="H281" t="n" s="21">
        <v>0</v>
      </c>
      <c r="I281" t="n" s="18">
        <v>0</v>
      </c>
      <c r="J281" t="n" s="18">
        <v>0</v>
      </c>
      <c r="K281" t="n" s="20">
        <v>0</v>
      </c>
      <c r="L281" t="n" s="21">
        <v>0</v>
      </c>
      <c r="M281" t="n" s="19">
        <v>0</v>
      </c>
    </row>
    <row r="282" hidden="0" ht="15" customHeight="1" spans="1:1">
      <c r="A282" t="str" s="17">
        <f>HYPERLINK("https://amazon.com/dp/B00LI4O9EA", "B00LI4O9EA")</f>
      </c>
      <c r="B282" t="s">
        <v>296</v>
      </c>
      <c r="C282" t="s">
        <v>15</v>
      </c>
      <c r="D282" t="n" s="18">
        <v>0</v>
      </c>
      <c r="E282" t="n" s="19">
        <v>1</v>
      </c>
      <c r="F282" t="n" s="20">
        <v>1806.67</v>
      </c>
      <c r="G282" t="n" s="19">
        <v>0</v>
      </c>
      <c r="H282" t="n" s="21">
        <v>0</v>
      </c>
      <c r="I282" t="n" s="18">
        <v>0</v>
      </c>
      <c r="J282" t="n" s="18">
        <v>0</v>
      </c>
      <c r="K282" t="n" s="20">
        <v>0</v>
      </c>
      <c r="L282" t="n" s="21">
        <v>1</v>
      </c>
      <c r="M282" t="n" s="19">
        <v>0</v>
      </c>
    </row>
    <row r="283" hidden="0" ht="15" customHeight="1" spans="1:1">
      <c r="A283" t="str" s="17">
        <f>HYPERLINK("https://amazon.com/dp/B083V41T6M", "B083V41T6M")</f>
      </c>
      <c r="B283" t="s">
        <v>297</v>
      </c>
      <c r="C283" t="s">
        <v>22</v>
      </c>
      <c r="D283" t="n" s="18">
        <v>0</v>
      </c>
      <c r="E283" t="n" s="19">
        <v>0</v>
      </c>
      <c r="F283" t="n" s="20">
        <v>0</v>
      </c>
      <c r="G283" t="n" s="19">
        <v>0</v>
      </c>
      <c r="H283" t="n" s="21">
        <v>0</v>
      </c>
      <c r="I283" t="n" s="18">
        <v>0</v>
      </c>
      <c r="J283" t="n" s="18">
        <v>0</v>
      </c>
      <c r="K283" t="n" s="20">
        <v>0</v>
      </c>
      <c r="L283" t="n" s="21">
        <v>0</v>
      </c>
      <c r="M283" t="n" s="19">
        <v>0</v>
      </c>
    </row>
    <row r="284" hidden="0" ht="15" customHeight="1" spans="1:1">
      <c r="A284" t="str" s="17">
        <f>HYPERLINK("https://amazon.com/dp/B083FF167K", "B083FF167K")</f>
      </c>
      <c r="B284" t="s">
        <v>298</v>
      </c>
      <c r="C284" t="s">
        <v>22</v>
      </c>
      <c r="D284" t="n" s="18">
        <v>0</v>
      </c>
      <c r="E284" t="n" s="19">
        <v>0</v>
      </c>
      <c r="F284" t="n" s="20">
        <v>0</v>
      </c>
      <c r="G284" t="n" s="19">
        <v>3</v>
      </c>
      <c r="H284" t="n" s="21">
        <v>0</v>
      </c>
      <c r="I284" t="n" s="18">
        <v>0</v>
      </c>
      <c r="J284" t="n" s="18">
        <v>0</v>
      </c>
      <c r="K284" t="n" s="20">
        <v>0</v>
      </c>
      <c r="L284" t="n" s="21">
        <v>0</v>
      </c>
      <c r="M284" t="n" s="19">
        <v>0</v>
      </c>
    </row>
    <row r="285" hidden="0" ht="15" customHeight="1" spans="1:1">
      <c r="A285" t="str" s="17">
        <f>HYPERLINK("https://amazon.com/dp/B0D6W5XMBQ", "B0D6W5XMBQ")</f>
      </c>
      <c r="B285" t="s">
        <v>299</v>
      </c>
      <c r="C285" t="s">
        <v>22</v>
      </c>
      <c r="D285" t="n" s="18">
        <v>0</v>
      </c>
      <c r="E285" t="n" s="19">
        <v>0</v>
      </c>
      <c r="F285" t="n" s="20">
        <v>0</v>
      </c>
      <c r="G285" t="n" s="19">
        <v>133</v>
      </c>
      <c r="H285" t="n" s="21">
        <v>0</v>
      </c>
      <c r="I285" t="n" s="18">
        <v>0</v>
      </c>
      <c r="J285" t="n" s="18">
        <v>0</v>
      </c>
      <c r="K285" t="n" s="20">
        <v>0</v>
      </c>
      <c r="L285" t="n" s="21">
        <v>0</v>
      </c>
      <c r="M285" t="n" s="19">
        <v>0</v>
      </c>
    </row>
    <row r="286" hidden="0" ht="15" customHeight="1" spans="1:1">
      <c r="A286" t="str" s="17">
        <f>HYPERLINK("https://amazon.com/dp/B0B6CKMLQH", "B0B6CKMLQH")</f>
      </c>
      <c r="B286" t="s">
        <v>300</v>
      </c>
      <c r="C286" t="s">
        <v>22</v>
      </c>
      <c r="D286" t="n" s="18">
        <v>0</v>
      </c>
      <c r="E286" t="n" s="19">
        <v>0</v>
      </c>
      <c r="F286" t="n" s="20">
        <v>0</v>
      </c>
      <c r="G286" t="n" s="19">
        <v>111</v>
      </c>
      <c r="H286" t="n" s="21">
        <v>0</v>
      </c>
      <c r="I286" t="n" s="18">
        <v>0</v>
      </c>
      <c r="J286" t="n" s="18">
        <v>0</v>
      </c>
      <c r="K286" t="n" s="20">
        <v>0</v>
      </c>
      <c r="L286" t="n" s="21">
        <v>0</v>
      </c>
      <c r="M286" t="n" s="19">
        <v>0</v>
      </c>
    </row>
    <row r="287" hidden="0" ht="15" customHeight="1" spans="1:1">
      <c r="A287" t="str" s="17">
        <f>HYPERLINK("https://amazon.com/dp/B0FG2NF3HT", "B0FG2NF3HT")</f>
      </c>
      <c r="B287" t="s">
        <v>301</v>
      </c>
      <c r="C287" t="s">
        <v>15</v>
      </c>
      <c r="D287" t="n" s="18">
        <v>0</v>
      </c>
      <c r="E287" t="n" s="19">
        <v>0</v>
      </c>
      <c r="F287" t="n" s="20">
        <v>0</v>
      </c>
      <c r="G287" t="n" s="19">
        <v>0</v>
      </c>
      <c r="H287" t="n" s="21">
        <v>0</v>
      </c>
      <c r="I287" t="n" s="18">
        <v>0</v>
      </c>
      <c r="J287" t="n" s="18">
        <v>0</v>
      </c>
      <c r="K287" t="n" s="20">
        <v>0</v>
      </c>
      <c r="L287" t="n" s="21">
        <v>0</v>
      </c>
      <c r="M287" t="n" s="19">
        <v>0</v>
      </c>
    </row>
    <row r="288" hidden="0" ht="15" customHeight="1" spans="1:1">
      <c r="A288" t="str" s="17">
        <f>HYPERLINK("https://amazon.com/dp/B08KB45P28", "B08KB45P28")</f>
      </c>
      <c r="B288" t="s">
        <v>302</v>
      </c>
      <c r="C288" t="s">
        <v>15</v>
      </c>
      <c r="D288" t="n" s="18">
        <v>0</v>
      </c>
      <c r="E288" t="n" s="19">
        <v>0</v>
      </c>
      <c r="F288" t="n" s="20">
        <v>0</v>
      </c>
      <c r="G288" t="n" s="19">
        <v>17</v>
      </c>
      <c r="H288" t="n" s="21">
        <v>0</v>
      </c>
      <c r="I288" t="n" s="18">
        <v>0</v>
      </c>
      <c r="J288" t="n" s="18">
        <v>0</v>
      </c>
      <c r="K288" t="n" s="20">
        <v>0</v>
      </c>
      <c r="L288" t="n" s="21">
        <v>0</v>
      </c>
      <c r="M288" t="n" s="19">
        <v>0</v>
      </c>
    </row>
    <row r="289" hidden="0" ht="15" customHeight="1" spans="1:1">
      <c r="A289" t="str" s="17">
        <f>HYPERLINK("https://amazon.com/dp/B00A121WN6", "B00A121WN6")</f>
      </c>
      <c r="B289" t="s">
        <v>303</v>
      </c>
      <c r="C289" t="s">
        <v>15</v>
      </c>
      <c r="D289" t="n" s="18">
        <v>0</v>
      </c>
      <c r="E289" t="n" s="19">
        <v>0</v>
      </c>
      <c r="F289" t="n" s="20">
        <v>0</v>
      </c>
      <c r="G289" t="n" s="19">
        <v>0</v>
      </c>
      <c r="H289" t="n" s="21">
        <v>0</v>
      </c>
      <c r="I289" t="n" s="18">
        <v>0</v>
      </c>
      <c r="J289" t="n" s="18">
        <v>0</v>
      </c>
      <c r="K289" t="n" s="20">
        <v>0</v>
      </c>
      <c r="L289" t="n" s="21">
        <v>0</v>
      </c>
      <c r="M289" t="n" s="19">
        <v>0</v>
      </c>
    </row>
    <row r="290" hidden="0" ht="15" customHeight="1" spans="1:1">
      <c r="A290" t="str" s="17">
        <f>HYPERLINK("https://amazon.com/dp/B0BGSHS9FN", "B0BGSHS9FN")</f>
      </c>
      <c r="B290" t="s">
        <v>304</v>
      </c>
      <c r="C290" t="s">
        <v>22</v>
      </c>
      <c r="D290" t="n" s="18">
        <v>0</v>
      </c>
      <c r="E290" t="n" s="19">
        <v>0</v>
      </c>
      <c r="F290" t="n" s="20">
        <v>0</v>
      </c>
      <c r="G290" t="n" s="19">
        <v>0</v>
      </c>
      <c r="H290" t="n" s="21">
        <v>0</v>
      </c>
      <c r="I290" t="n" s="18">
        <v>0</v>
      </c>
      <c r="J290" t="n" s="18">
        <v>0</v>
      </c>
      <c r="K290" t="n" s="20">
        <v>0</v>
      </c>
      <c r="L290" t="n" s="21">
        <v>0</v>
      </c>
      <c r="M290" t="n" s="19">
        <v>0</v>
      </c>
    </row>
    <row r="291" hidden="0" ht="15" customHeight="1" spans="1:1">
      <c r="A291" t="str" s="17">
        <f>HYPERLINK("https://amazon.com/dp/B09FSTVWFF", "B09FSTVWFF")</f>
      </c>
      <c r="B291" t="s">
        <v>305</v>
      </c>
      <c r="C291" t="s">
        <v>22</v>
      </c>
      <c r="D291" t="n" s="18">
        <v>0</v>
      </c>
      <c r="E291" t="n" s="19">
        <v>0</v>
      </c>
      <c r="F291" t="n" s="20">
        <v>0</v>
      </c>
      <c r="G291" t="n" s="19">
        <v>55</v>
      </c>
      <c r="H291" t="n" s="21">
        <v>0</v>
      </c>
      <c r="I291" t="n" s="18">
        <v>0</v>
      </c>
      <c r="J291" t="n" s="18">
        <v>0</v>
      </c>
      <c r="K291" t="n" s="20">
        <v>0</v>
      </c>
      <c r="L291" t="n" s="21">
        <v>0</v>
      </c>
      <c r="M291" t="n" s="19">
        <v>0</v>
      </c>
    </row>
    <row r="292" hidden="0" ht="15" customHeight="1" spans="1:1">
      <c r="A292" t="str" s="17">
        <f>HYPERLINK("https://amazon.com/dp/B0859M6P2C", "B0859M6P2C")</f>
      </c>
      <c r="B292" t="s">
        <v>306</v>
      </c>
      <c r="C292" t="s">
        <v>15</v>
      </c>
      <c r="D292" t="n" s="18">
        <v>0</v>
      </c>
      <c r="E292" t="n" s="19">
        <v>0</v>
      </c>
      <c r="F292" t="n" s="20">
        <v>0</v>
      </c>
      <c r="G292" t="n" s="19">
        <v>65</v>
      </c>
      <c r="H292" t="n" s="21">
        <v>0</v>
      </c>
      <c r="I292" t="n" s="18">
        <v>0</v>
      </c>
      <c r="J292" t="n" s="18">
        <v>0</v>
      </c>
      <c r="K292" t="n" s="20">
        <v>0</v>
      </c>
      <c r="L292" t="n" s="21">
        <v>0</v>
      </c>
      <c r="M292" t="n" s="19">
        <v>1</v>
      </c>
    </row>
    <row r="293" hidden="0" ht="15" customHeight="1" spans="1:1">
      <c r="A293" t="str" s="17">
        <f>HYPERLINK("https://amazon.com/dp/B09DQ3RV16", "B09DQ3RV16")</f>
      </c>
      <c r="B293" t="s">
        <v>307</v>
      </c>
      <c r="C293" t="s">
        <v>15</v>
      </c>
      <c r="D293" t="n" s="18">
        <v>0</v>
      </c>
      <c r="E293" t="n" s="19">
        <v>0</v>
      </c>
      <c r="F293" t="n" s="20">
        <v>0</v>
      </c>
      <c r="G293" t="n" s="19">
        <v>0</v>
      </c>
      <c r="H293" t="n" s="21">
        <v>0</v>
      </c>
      <c r="I293" t="n" s="18">
        <v>0</v>
      </c>
      <c r="J293" t="n" s="18">
        <v>0</v>
      </c>
      <c r="K293" t="n" s="20">
        <v>0</v>
      </c>
      <c r="L293" t="n" s="21">
        <v>0</v>
      </c>
      <c r="M293" t="n" s="19">
        <v>0</v>
      </c>
    </row>
    <row r="294" hidden="0" ht="15" customHeight="1" spans="1:1">
      <c r="A294" t="str" s="17">
        <f>HYPERLINK("https://amazon.com/dp/B09X3JDZYQ", "B09X3JDZYQ")</f>
      </c>
      <c r="B294" t="s">
        <v>308</v>
      </c>
      <c r="C294" t="s">
        <v>15</v>
      </c>
      <c r="D294" t="n" s="18">
        <v>0</v>
      </c>
      <c r="E294" t="n" s="19">
        <v>0</v>
      </c>
      <c r="F294" t="n" s="20">
        <v>0</v>
      </c>
      <c r="G294" t="n" s="19">
        <v>0</v>
      </c>
      <c r="H294" t="n" s="21">
        <v>0</v>
      </c>
      <c r="I294" t="n" s="18">
        <v>0</v>
      </c>
      <c r="J294" t="n" s="18">
        <v>0</v>
      </c>
      <c r="K294" t="n" s="20">
        <v>0</v>
      </c>
      <c r="L294" t="n" s="21">
        <v>0</v>
      </c>
      <c r="M294" t="n" s="19">
        <v>0</v>
      </c>
    </row>
    <row r="295" hidden="0" ht="15" customHeight="1" spans="1:1">
      <c r="A295" t="str" s="17">
        <f>HYPERLINK("https://amazon.com/dp/B0BF5MC9QX", "B0BF5MC9QX")</f>
      </c>
      <c r="B295" t="s">
        <v>309</v>
      </c>
      <c r="C295" t="s">
        <v>22</v>
      </c>
      <c r="D295" t="n" s="18">
        <v>0</v>
      </c>
      <c r="E295" t="n" s="19">
        <v>0</v>
      </c>
      <c r="F295" t="n" s="20">
        <v>0</v>
      </c>
      <c r="G295" t="n" s="19">
        <v>0</v>
      </c>
      <c r="H295" t="n" s="21">
        <v>0</v>
      </c>
      <c r="I295" t="n" s="18">
        <v>0</v>
      </c>
      <c r="J295" t="n" s="18">
        <v>0</v>
      </c>
      <c r="K295" t="n" s="20">
        <v>0</v>
      </c>
      <c r="L295" t="n" s="21">
        <v>0</v>
      </c>
      <c r="M295" t="n" s="19">
        <v>0</v>
      </c>
    </row>
    <row r="296" hidden="0" ht="15" customHeight="1" spans="1:1">
      <c r="A296" t="str" s="17">
        <f>HYPERLINK("https://amazon.com/dp/B08QRQQ53T", "B08QRQQ53T")</f>
      </c>
      <c r="B296" t="s">
        <v>310</v>
      </c>
      <c r="C296" t="s">
        <v>22</v>
      </c>
      <c r="D296" t="n" s="18">
        <v>0</v>
      </c>
      <c r="E296" t="n" s="19">
        <v>0</v>
      </c>
      <c r="F296" t="n" s="20">
        <v>0</v>
      </c>
      <c r="G296" t="n" s="19">
        <v>0</v>
      </c>
      <c r="H296" t="n" s="21">
        <v>0</v>
      </c>
      <c r="I296" t="n" s="18">
        <v>0</v>
      </c>
      <c r="J296" t="n" s="18">
        <v>0</v>
      </c>
      <c r="K296" t="n" s="20">
        <v>0</v>
      </c>
      <c r="L296" t="n" s="21">
        <v>0</v>
      </c>
      <c r="M296" t="n" s="19">
        <v>0</v>
      </c>
    </row>
    <row r="297" hidden="0" ht="15" customHeight="1" spans="1:1">
      <c r="A297" t="str" s="17">
        <f>HYPERLINK("https://amazon.com/dp/B00HHREN1Q", "B00HHREN1Q")</f>
      </c>
      <c r="B297" t="s">
        <v>311</v>
      </c>
      <c r="C297" t="s">
        <v>15</v>
      </c>
      <c r="D297" t="n" s="18">
        <v>0</v>
      </c>
      <c r="E297" t="n" s="19">
        <v>0</v>
      </c>
      <c r="F297" t="n" s="20">
        <v>0</v>
      </c>
      <c r="G297" t="n" s="19">
        <v>7</v>
      </c>
      <c r="H297" t="n" s="21">
        <v>0</v>
      </c>
      <c r="I297" t="n" s="18">
        <v>0</v>
      </c>
      <c r="J297" t="n" s="18">
        <v>0</v>
      </c>
      <c r="K297" t="n" s="20">
        <v>0</v>
      </c>
      <c r="L297" t="n" s="21">
        <v>0</v>
      </c>
      <c r="M297" t="n" s="19">
        <v>1</v>
      </c>
    </row>
    <row r="298" hidden="0" ht="15" customHeight="1" spans="1:1">
      <c r="A298" t="str" s="17">
        <f>HYPERLINK("https://amazon.com/dp/B01EXDG2MO", "B01EXDG2MO")</f>
      </c>
      <c r="B298" t="s">
        <v>312</v>
      </c>
      <c r="C298" t="s">
        <v>15</v>
      </c>
      <c r="D298" t="n" s="18">
        <v>0</v>
      </c>
      <c r="E298" t="n" s="19">
        <v>1</v>
      </c>
      <c r="F298" t="n" s="20">
        <v>552.03</v>
      </c>
      <c r="G298" t="n" s="19">
        <v>6</v>
      </c>
      <c r="H298" t="n" s="21">
        <v>0</v>
      </c>
      <c r="I298" t="n" s="18">
        <v>0</v>
      </c>
      <c r="J298" t="n" s="18">
        <v>0</v>
      </c>
      <c r="K298" t="n" s="20">
        <v>0</v>
      </c>
      <c r="L298" t="n" s="21">
        <v>1</v>
      </c>
      <c r="M298" t="n" s="19">
        <v>0</v>
      </c>
    </row>
    <row r="299" hidden="0" ht="15" customHeight="1" spans="1:1">
      <c r="A299" t="str" s="17">
        <f>HYPERLINK("https://amazon.com/dp/B0C8NYMBRR", "B0C8NYMBRR")</f>
      </c>
      <c r="B299" t="s">
        <v>313</v>
      </c>
      <c r="C299" t="s">
        <v>22</v>
      </c>
      <c r="D299" t="n" s="18">
        <v>0</v>
      </c>
      <c r="E299" t="n" s="19">
        <v>0</v>
      </c>
      <c r="F299" t="n" s="20">
        <v>0</v>
      </c>
      <c r="G299" t="n" s="19">
        <v>7</v>
      </c>
      <c r="H299" t="n" s="21">
        <v>0</v>
      </c>
      <c r="I299" t="n" s="18">
        <v>0</v>
      </c>
      <c r="J299" t="n" s="18">
        <v>0</v>
      </c>
      <c r="K299" t="n" s="20">
        <v>0</v>
      </c>
      <c r="L299" t="n" s="21">
        <v>0</v>
      </c>
      <c r="M299" t="n" s="19">
        <v>1</v>
      </c>
    </row>
    <row r="300" hidden="0" ht="15" customHeight="1" spans="1:1">
      <c r="A300" t="str" s="17">
        <f>HYPERLINK("https://amazon.com/dp/B0CCW8GHT8", "B0CCW8GHT8")</f>
      </c>
      <c r="B300" t="s">
        <v>314</v>
      </c>
      <c r="C300" t="s">
        <v>22</v>
      </c>
      <c r="D300" t="n" s="18">
        <v>0</v>
      </c>
      <c r="E300" t="n" s="19">
        <v>0</v>
      </c>
      <c r="F300" t="n" s="20">
        <v>0</v>
      </c>
      <c r="G300" t="n" s="19">
        <v>0</v>
      </c>
      <c r="H300" t="n" s="21">
        <v>0</v>
      </c>
      <c r="I300" t="n" s="18">
        <v>0</v>
      </c>
      <c r="J300" t="n" s="18">
        <v>0</v>
      </c>
      <c r="K300" t="n" s="20">
        <v>0</v>
      </c>
      <c r="L300" t="n" s="21">
        <v>0</v>
      </c>
      <c r="M300" t="n" s="19">
        <v>0</v>
      </c>
    </row>
    <row r="301" hidden="0" ht="15" customHeight="1" spans="1:1">
      <c r="A301" t="str" s="17">
        <f>HYPERLINK("https://amazon.com/dp/B00194XKXA", "B00194XKXA")</f>
      </c>
      <c r="B301" t="s">
        <v>315</v>
      </c>
      <c r="C301" t="s">
        <v>15</v>
      </c>
      <c r="D301" t="n" s="18">
        <v>-1909.36</v>
      </c>
      <c r="E301" t="n" s="19">
        <v>1</v>
      </c>
      <c r="F301" t="n" s="20">
        <v>415.64</v>
      </c>
      <c r="G301" t="n" s="19">
        <v>76</v>
      </c>
      <c r="H301" t="n" s="21">
        <v>-0.0132</v>
      </c>
      <c r="I301" t="n" s="18">
        <v>305.86</v>
      </c>
      <c r="J301" t="n" s="18">
        <v>0</v>
      </c>
      <c r="K301" t="n" s="20">
        <v>305.86</v>
      </c>
      <c r="L301" t="n" s="21">
        <v>0.38189999999999996</v>
      </c>
      <c r="M301" t="n" s="19">
        <v>0</v>
      </c>
    </row>
    <row r="302" hidden="0" ht="15" customHeight="1" spans="1:1">
      <c r="A302" t="str" s="17">
        <f>HYPERLINK("https://amazon.com/dp/B001GX0LSQ", "B001GX0LSQ")</f>
      </c>
      <c r="B302" t="s">
        <v>316</v>
      </c>
      <c r="C302" t="s">
        <v>15</v>
      </c>
      <c r="D302" t="n" s="18">
        <v>0</v>
      </c>
      <c r="E302" t="n" s="19">
        <v>0</v>
      </c>
      <c r="F302" t="n" s="20">
        <v>0</v>
      </c>
      <c r="G302" t="n" s="19">
        <v>0</v>
      </c>
      <c r="H302" t="n" s="21">
        <v>0</v>
      </c>
      <c r="I302" t="n" s="18">
        <v>0</v>
      </c>
      <c r="J302" t="n" s="18">
        <v>0</v>
      </c>
      <c r="K302" t="n" s="20">
        <v>0</v>
      </c>
      <c r="L302" t="n" s="21">
        <v>0</v>
      </c>
      <c r="M302" t="n" s="19">
        <v>0</v>
      </c>
    </row>
    <row r="303" hidden="0" ht="15" customHeight="1" spans="1:1">
      <c r="A303" t="str" s="17">
        <f>HYPERLINK("https://amazon.com/dp/B0FMQTXM9G", "B0FMQTXM9G")</f>
      </c>
      <c r="B303" t="s">
        <v>317</v>
      </c>
      <c r="C303" t="s">
        <v>15</v>
      </c>
      <c r="D303" t="n" s="18">
        <v>0</v>
      </c>
      <c r="E303" t="n" s="19">
        <v>0</v>
      </c>
      <c r="F303" t="n" s="20">
        <v>0</v>
      </c>
      <c r="G303" t="n" s="19">
        <v>0</v>
      </c>
      <c r="H303" t="n" s="21">
        <v>0</v>
      </c>
      <c r="I303" t="n" s="18">
        <v>0</v>
      </c>
      <c r="J303" t="n" s="18">
        <v>0</v>
      </c>
      <c r="K303" t="n" s="20">
        <v>0</v>
      </c>
      <c r="L303" t="n" s="21">
        <v>0</v>
      </c>
      <c r="M303" t="n" s="19">
        <v>0</v>
      </c>
    </row>
    <row r="304" hidden="0" ht="15" customHeight="1" spans="1:1">
      <c r="A304" t="str" s="17">
        <f>HYPERLINK("https://amazon.com/dp/B0141JTLDM", "B0141JTLDM")</f>
      </c>
      <c r="B304" t="s">
        <v>318</v>
      </c>
      <c r="C304" t="s">
        <v>15</v>
      </c>
      <c r="D304" t="n" s="18">
        <v>0</v>
      </c>
      <c r="E304" t="n" s="19">
        <v>0</v>
      </c>
      <c r="F304" t="n" s="20">
        <v>0</v>
      </c>
      <c r="G304" t="n" s="19">
        <v>0</v>
      </c>
      <c r="H304" t="n" s="21">
        <v>0</v>
      </c>
      <c r="I304" t="n" s="18">
        <v>0</v>
      </c>
      <c r="J304" t="n" s="18">
        <v>0</v>
      </c>
      <c r="K304" t="n" s="20">
        <v>0</v>
      </c>
      <c r="L304" t="n" s="21">
        <v>0</v>
      </c>
      <c r="M304" t="n" s="19">
        <v>0</v>
      </c>
    </row>
    <row r="305" hidden="0" ht="15" customHeight="1" spans="1:1">
      <c r="A305" t="str" s="17">
        <f>HYPERLINK("https://amazon.com/dp/B09T74F8Z9", "B09T74F8Z9")</f>
      </c>
      <c r="B305" t="s">
        <v>319</v>
      </c>
      <c r="C305" t="s">
        <v>15</v>
      </c>
      <c r="D305" t="n" s="18">
        <v>0</v>
      </c>
      <c r="E305" t="n" s="19">
        <v>0</v>
      </c>
      <c r="F305" t="n" s="20">
        <v>0</v>
      </c>
      <c r="G305" t="n" s="19">
        <v>0</v>
      </c>
      <c r="H305" t="n" s="21">
        <v>0</v>
      </c>
      <c r="I305" t="n" s="18">
        <v>0</v>
      </c>
      <c r="J305" t="n" s="18">
        <v>0</v>
      </c>
      <c r="K305" t="n" s="20">
        <v>0</v>
      </c>
      <c r="L305" t="n" s="21">
        <v>0</v>
      </c>
      <c r="M305" t="n" s="19">
        <v>0</v>
      </c>
    </row>
    <row r="306" hidden="0" ht="15" customHeight="1" spans="1:1">
      <c r="A306" t="str" s="17">
        <f>HYPERLINK("https://amazon.com/dp/B0GVZ8CJSL", "B0GVZ8CJSL")</f>
      </c>
      <c r="B306" t="s">
        <v>320</v>
      </c>
      <c r="C306" t="s">
        <v>15</v>
      </c>
      <c r="D306" t="n" s="18">
        <v>0</v>
      </c>
      <c r="E306" t="n" s="19">
        <v>0</v>
      </c>
      <c r="F306" t="n" s="20">
        <v>0</v>
      </c>
      <c r="G306" t="n" s="19">
        <v>0</v>
      </c>
      <c r="H306" t="n" s="21">
        <v>0</v>
      </c>
      <c r="I306" t="n" s="18">
        <v>0</v>
      </c>
      <c r="J306" t="n" s="18">
        <v>0</v>
      </c>
      <c r="K306" t="n" s="20">
        <v>0</v>
      </c>
      <c r="L306" t="n" s="21">
        <v>0</v>
      </c>
      <c r="M306" t="n" s="19">
        <v>0</v>
      </c>
    </row>
    <row r="307" hidden="0" ht="15" customHeight="1" spans="1:1">
      <c r="A307" t="str" s="17">
        <f>HYPERLINK("https://amazon.com/dp/B0BNYT4764", "B0BNYT4764")</f>
      </c>
      <c r="B307" t="s">
        <v>321</v>
      </c>
      <c r="C307" t="s">
        <v>15</v>
      </c>
      <c r="D307" t="n" s="18">
        <v>0</v>
      </c>
      <c r="E307" t="n" s="19">
        <v>0</v>
      </c>
      <c r="F307" t="n" s="20">
        <v>0</v>
      </c>
      <c r="G307" t="n" s="19">
        <v>0</v>
      </c>
      <c r="H307" t="n" s="21">
        <v>0</v>
      </c>
      <c r="I307" t="n" s="18">
        <v>0</v>
      </c>
      <c r="J307" t="n" s="18">
        <v>0</v>
      </c>
      <c r="K307" t="n" s="20">
        <v>0</v>
      </c>
      <c r="L307" t="n" s="21">
        <v>0</v>
      </c>
      <c r="M307" t="n" s="19">
        <v>0</v>
      </c>
    </row>
    <row r="308" hidden="0" ht="15" customHeight="1" spans="1:1">
      <c r="A308" t="str" s="17">
        <f>HYPERLINK("https://amazon.com/dp/B0B7NK25BJ", "B0B7NK25BJ")</f>
      </c>
      <c r="B308" t="s">
        <v>322</v>
      </c>
      <c r="C308" t="s">
        <v>22</v>
      </c>
      <c r="D308" t="n" s="18">
        <v>0</v>
      </c>
      <c r="E308" t="n" s="19">
        <v>0</v>
      </c>
      <c r="F308" t="n" s="20">
        <v>0</v>
      </c>
      <c r="G308" t="n" s="19">
        <v>0</v>
      </c>
      <c r="H308" t="n" s="21">
        <v>0</v>
      </c>
      <c r="I308" t="n" s="18">
        <v>0</v>
      </c>
      <c r="J308" t="n" s="18">
        <v>0</v>
      </c>
      <c r="K308" t="n" s="20">
        <v>0</v>
      </c>
      <c r="L308" t="n" s="21">
        <v>0</v>
      </c>
      <c r="M308" t="n" s="19">
        <v>0</v>
      </c>
    </row>
    <row r="309" hidden="0" ht="15" customHeight="1" spans="1:1">
      <c r="A309" t="str" s="17">
        <f>HYPERLINK("https://amazon.com/dp/B0BJ2BQJD1", "B0BJ2BQJD1")</f>
      </c>
      <c r="B309" t="s">
        <v>323</v>
      </c>
      <c r="C309" t="s">
        <v>15</v>
      </c>
      <c r="D309" t="n" s="18">
        <v>0</v>
      </c>
      <c r="E309" t="n" s="19">
        <v>0</v>
      </c>
      <c r="F309" t="n" s="20">
        <v>0</v>
      </c>
      <c r="G309" t="n" s="19">
        <v>0</v>
      </c>
      <c r="H309" t="n" s="21">
        <v>0</v>
      </c>
      <c r="I309" t="n" s="18">
        <v>0</v>
      </c>
      <c r="J309" t="n" s="18">
        <v>0</v>
      </c>
      <c r="K309" t="n" s="20">
        <v>0</v>
      </c>
      <c r="L309" t="n" s="21">
        <v>0</v>
      </c>
      <c r="M309" t="n" s="19">
        <v>0</v>
      </c>
    </row>
    <row r="310" hidden="0" ht="15" customHeight="1" spans="1:1">
      <c r="A310" t="str" s="17">
        <f>HYPERLINK("https://amazon.com/dp/B08GDB1KWV", "B08GDB1KWV")</f>
      </c>
      <c r="B310" t="s">
        <v>324</v>
      </c>
      <c r="C310" t="s">
        <v>15</v>
      </c>
      <c r="D310" t="n" s="18">
        <v>0</v>
      </c>
      <c r="E310" t="n" s="19">
        <v>0</v>
      </c>
      <c r="F310" t="n" s="20">
        <v>0</v>
      </c>
      <c r="G310" t="n" s="19">
        <v>0</v>
      </c>
      <c r="H310" t="n" s="21">
        <v>0</v>
      </c>
      <c r="I310" t="n" s="18">
        <v>0</v>
      </c>
      <c r="J310" t="n" s="18">
        <v>0</v>
      </c>
      <c r="K310" t="n" s="20">
        <v>0</v>
      </c>
      <c r="L310" t="n" s="21">
        <v>0</v>
      </c>
      <c r="M310" t="n" s="19">
        <v>0</v>
      </c>
    </row>
    <row r="311" hidden="0" ht="15" customHeight="1" spans="1:1">
      <c r="A311" t="str" s="17">
        <f>HYPERLINK("https://amazon.com/dp/B0119TXRVO", "B0119TXRVO")</f>
      </c>
      <c r="B311" t="s">
        <v>325</v>
      </c>
      <c r="C311" t="s">
        <v>15</v>
      </c>
      <c r="D311" t="n" s="18">
        <v>0</v>
      </c>
      <c r="E311" t="n" s="19">
        <v>0</v>
      </c>
      <c r="F311" t="n" s="20">
        <v>0</v>
      </c>
      <c r="G311" t="n" s="19">
        <v>0</v>
      </c>
      <c r="H311" t="n" s="21">
        <v>0</v>
      </c>
      <c r="I311" t="n" s="18">
        <v>0</v>
      </c>
      <c r="J311" t="n" s="18">
        <v>0</v>
      </c>
      <c r="K311" t="n" s="20">
        <v>0</v>
      </c>
      <c r="L311" t="n" s="21">
        <v>0</v>
      </c>
      <c r="M311" t="n" s="19">
        <v>0</v>
      </c>
    </row>
    <row r="312" hidden="0" ht="15" customHeight="1" spans="1:1">
      <c r="A312" t="str" s="17">
        <f>HYPERLINK("https://amazon.com/dp/B0BJDPJHZW", "B0BJDPJHZW")</f>
      </c>
      <c r="B312" t="s">
        <v>326</v>
      </c>
      <c r="C312" t="s">
        <v>15</v>
      </c>
      <c r="D312" t="n" s="18">
        <v>0</v>
      </c>
      <c r="E312" t="n" s="19">
        <v>0</v>
      </c>
      <c r="F312" t="n" s="20">
        <v>0</v>
      </c>
      <c r="G312" t="n" s="19">
        <v>0</v>
      </c>
      <c r="H312" t="n" s="21">
        <v>0</v>
      </c>
      <c r="I312" t="n" s="18">
        <v>0</v>
      </c>
      <c r="J312" t="n" s="18">
        <v>0</v>
      </c>
      <c r="K312" t="n" s="20">
        <v>0</v>
      </c>
      <c r="L312" t="n" s="21">
        <v>0</v>
      </c>
      <c r="M312" t="n" s="19">
        <v>0</v>
      </c>
    </row>
    <row r="313" hidden="0" ht="15" customHeight="1" spans="1:1">
      <c r="A313" t="str" s="17">
        <f>HYPERLINK("https://amazon.com/dp/B075ZZJPK1", "B075ZZJPK1")</f>
      </c>
      <c r="B313" t="s">
        <v>327</v>
      </c>
      <c r="C313" t="s">
        <v>15</v>
      </c>
      <c r="D313" t="n" s="18">
        <v>0</v>
      </c>
      <c r="E313" t="n" s="19">
        <v>0</v>
      </c>
      <c r="F313" t="n" s="20">
        <v>0</v>
      </c>
      <c r="G313" t="n" s="19">
        <v>0</v>
      </c>
      <c r="H313" t="n" s="21">
        <v>0</v>
      </c>
      <c r="I313" t="n" s="18">
        <v>0</v>
      </c>
      <c r="J313" t="n" s="18">
        <v>0</v>
      </c>
      <c r="K313" t="n" s="20">
        <v>0</v>
      </c>
      <c r="L313" t="n" s="21">
        <v>0</v>
      </c>
      <c r="M313" t="n" s="19">
        <v>0</v>
      </c>
    </row>
    <row r="314" hidden="0" ht="15" customHeight="1" spans="1:1">
      <c r="A314" t="str" s="17">
        <f>HYPERLINK("https://amazon.com/dp/B01LLAK1VA", "B01LLAK1VA")</f>
      </c>
      <c r="B314" t="s">
        <v>328</v>
      </c>
      <c r="C314" t="s">
        <v>15</v>
      </c>
      <c r="D314" t="n" s="18">
        <v>0</v>
      </c>
      <c r="E314" t="n" s="19">
        <v>0</v>
      </c>
      <c r="F314" t="n" s="20">
        <v>0</v>
      </c>
      <c r="G314" t="n" s="19">
        <v>0</v>
      </c>
      <c r="H314" t="n" s="21">
        <v>0</v>
      </c>
      <c r="I314" t="n" s="18">
        <v>0</v>
      </c>
      <c r="J314" t="n" s="18">
        <v>0</v>
      </c>
      <c r="K314" t="n" s="20">
        <v>0</v>
      </c>
      <c r="L314" t="n" s="21">
        <v>0</v>
      </c>
      <c r="M314" t="n" s="19">
        <v>0</v>
      </c>
    </row>
    <row r="315" hidden="0" ht="15" customHeight="1" spans="1:1">
      <c r="A315" t="str" s="17">
        <f>HYPERLINK("https://amazon.com/dp/B0DQYJGTKX", "B0DQYJGTKX")</f>
      </c>
      <c r="B315" t="s">
        <v>329</v>
      </c>
      <c r="C315" t="s">
        <v>22</v>
      </c>
      <c r="D315" t="n" s="18">
        <v>0</v>
      </c>
      <c r="E315" t="n" s="19">
        <v>0</v>
      </c>
      <c r="F315" t="n" s="20">
        <v>0</v>
      </c>
      <c r="G315" t="n" s="19">
        <v>0</v>
      </c>
      <c r="H315" t="n" s="21">
        <v>0</v>
      </c>
      <c r="I315" t="n" s="18">
        <v>0</v>
      </c>
      <c r="J315" t="n" s="18">
        <v>0</v>
      </c>
      <c r="K315" t="n" s="20">
        <v>0</v>
      </c>
      <c r="L315" t="n" s="21">
        <v>0</v>
      </c>
      <c r="M315" t="n" s="19">
        <v>0</v>
      </c>
    </row>
    <row r="316" hidden="0" ht="15" customHeight="1" spans="1:1">
      <c r="A316" t="str" s="17">
        <f>HYPERLINK("https://amazon.com/dp/B0FSD6WTYL", "B0FSD6WTYL")</f>
      </c>
      <c r="B316" t="s">
        <v>330</v>
      </c>
      <c r="C316" t="s">
        <v>15</v>
      </c>
      <c r="D316" t="n" s="18">
        <v>0</v>
      </c>
      <c r="E316" t="n" s="19">
        <v>0</v>
      </c>
      <c r="F316" t="n" s="20">
        <v>0</v>
      </c>
      <c r="G316" t="n" s="19">
        <v>0</v>
      </c>
      <c r="H316" t="n" s="21">
        <v>0</v>
      </c>
      <c r="I316" t="n" s="18">
        <v>0</v>
      </c>
      <c r="J316" t="n" s="18">
        <v>0</v>
      </c>
      <c r="K316" t="n" s="20">
        <v>0</v>
      </c>
      <c r="L316" t="n" s="21">
        <v>0</v>
      </c>
      <c r="M316" t="n" s="19">
        <v>0</v>
      </c>
    </row>
    <row r="317" hidden="0" ht="15" customHeight="1" spans="1:1">
      <c r="A317" t="str" s="17">
        <f>HYPERLINK("https://amazon.com/dp/B079YSQGT2", "B079YSQGT2")</f>
      </c>
      <c r="B317" t="s">
        <v>331</v>
      </c>
      <c r="C317" t="s">
        <v>15</v>
      </c>
      <c r="D317" t="n" s="18">
        <v>0</v>
      </c>
      <c r="E317" t="n" s="19">
        <v>0</v>
      </c>
      <c r="F317" t="n" s="20">
        <v>0</v>
      </c>
      <c r="G317" t="n" s="19">
        <v>0</v>
      </c>
      <c r="H317" t="n" s="21">
        <v>0</v>
      </c>
      <c r="I317" t="n" s="18">
        <v>0</v>
      </c>
      <c r="J317" t="n" s="18">
        <v>0</v>
      </c>
      <c r="K317" t="n" s="20">
        <v>0</v>
      </c>
      <c r="L317" t="n" s="21">
        <v>0</v>
      </c>
      <c r="M317" t="n" s="19">
        <v>0</v>
      </c>
    </row>
    <row r="318" hidden="0" ht="15" customHeight="1" spans="1:1">
      <c r="A318" t="str" s="17">
        <f>HYPERLINK("https://amazon.com/dp/B07NQ5YGDW", "B07NQ5YGDW")</f>
      </c>
      <c r="B318" t="s">
        <v>332</v>
      </c>
      <c r="C318" t="s">
        <v>15</v>
      </c>
      <c r="D318" t="n" s="18">
        <v>0</v>
      </c>
      <c r="E318" t="n" s="19">
        <v>0</v>
      </c>
      <c r="F318" t="n" s="20">
        <v>0</v>
      </c>
      <c r="G318" t="n" s="19">
        <v>32</v>
      </c>
      <c r="H318" t="n" s="21">
        <v>0</v>
      </c>
      <c r="I318" t="n" s="18">
        <v>0</v>
      </c>
      <c r="J318" t="n" s="18">
        <v>0</v>
      </c>
      <c r="K318" t="n" s="20">
        <v>0</v>
      </c>
      <c r="L318" t="n" s="21">
        <v>0</v>
      </c>
      <c r="M318" t="n" s="19">
        <v>0</v>
      </c>
    </row>
    <row r="319" hidden="0" ht="15" customHeight="1" spans="1:1">
      <c r="A319" t="str" s="17">
        <f>HYPERLINK("https://amazon.com/dp/B0FC2NPY55", "B0FC2NPY55")</f>
      </c>
      <c r="B319" t="s">
        <v>333</v>
      </c>
      <c r="C319" t="s">
        <v>45</v>
      </c>
      <c r="D319" t="n" s="18">
        <v>0</v>
      </c>
      <c r="E319" t="n" s="19">
        <v>0</v>
      </c>
      <c r="F319" t="n" s="20">
        <v>0</v>
      </c>
      <c r="G319" t="n" s="19">
        <v>58</v>
      </c>
      <c r="H319" t="n" s="21">
        <v>0</v>
      </c>
      <c r="I319" t="n" s="18">
        <v>0</v>
      </c>
      <c r="J319" t="n" s="18">
        <v>0</v>
      </c>
      <c r="K319" t="n" s="20">
        <v>0</v>
      </c>
      <c r="L319" t="n" s="21">
        <v>0</v>
      </c>
      <c r="M319" t="n" s="19">
        <v>0</v>
      </c>
    </row>
    <row r="320" hidden="0" ht="15" customHeight="1" spans="1:1">
      <c r="A320" t="str" s="17">
        <f>HYPERLINK("https://amazon.com/dp/B09TL9DT6P", "B09TL9DT6P")</f>
      </c>
      <c r="B320" t="s">
        <v>334</v>
      </c>
      <c r="C320" t="s">
        <v>15</v>
      </c>
      <c r="D320" t="n" s="18">
        <v>0</v>
      </c>
      <c r="E320" t="n" s="19">
        <v>0</v>
      </c>
      <c r="F320" t="n" s="20">
        <v>0</v>
      </c>
      <c r="G320" t="n" s="19">
        <v>0</v>
      </c>
      <c r="H320" t="n" s="21">
        <v>0</v>
      </c>
      <c r="I320" t="n" s="18">
        <v>0</v>
      </c>
      <c r="J320" t="n" s="18">
        <v>0</v>
      </c>
      <c r="K320" t="n" s="20">
        <v>0</v>
      </c>
      <c r="L320" t="n" s="21">
        <v>0</v>
      </c>
      <c r="M320" t="n" s="19">
        <v>0</v>
      </c>
    </row>
    <row r="321" hidden="0" ht="15" customHeight="1" spans="1:1">
      <c r="A321" t="str" s="17">
        <f>HYPERLINK("https://amazon.com/dp/B0CJ9R466Z", "B0CJ9R466Z")</f>
      </c>
      <c r="B321" t="s">
        <v>335</v>
      </c>
      <c r="C321" t="s">
        <v>22</v>
      </c>
      <c r="D321" t="n" s="18">
        <v>0</v>
      </c>
      <c r="E321" t="n" s="19">
        <v>0</v>
      </c>
      <c r="F321" t="n" s="20">
        <v>0</v>
      </c>
      <c r="G321" t="n" s="19">
        <v>0</v>
      </c>
      <c r="H321" t="n" s="21">
        <v>0</v>
      </c>
      <c r="I321" t="n" s="18">
        <v>0</v>
      </c>
      <c r="J321" t="n" s="18">
        <v>0</v>
      </c>
      <c r="K321" t="n" s="20">
        <v>0</v>
      </c>
      <c r="L321" t="n" s="21">
        <v>0</v>
      </c>
      <c r="M321" t="n" s="19">
        <v>0</v>
      </c>
    </row>
    <row r="322" hidden="0" ht="15" customHeight="1" spans="1:1">
      <c r="A322" t="str" s="17">
        <f>HYPERLINK("https://amazon.com/dp/B07RQT8VX1", "B07RQT8VX1")</f>
      </c>
      <c r="B322" t="s">
        <v>336</v>
      </c>
      <c r="C322" t="s">
        <v>15</v>
      </c>
      <c r="D322" t="n" s="18">
        <v>0</v>
      </c>
      <c r="E322" t="n" s="19">
        <v>0</v>
      </c>
      <c r="F322" t="n" s="20">
        <v>0</v>
      </c>
      <c r="G322" t="n" s="19">
        <v>0</v>
      </c>
      <c r="H322" t="n" s="21">
        <v>0</v>
      </c>
      <c r="I322" t="n" s="18">
        <v>0</v>
      </c>
      <c r="J322" t="n" s="18">
        <v>0</v>
      </c>
      <c r="K322" t="n" s="20">
        <v>0</v>
      </c>
      <c r="L322" t="n" s="21">
        <v>0</v>
      </c>
      <c r="M322" t="n" s="19">
        <v>0</v>
      </c>
    </row>
    <row r="323" hidden="0" ht="15" customHeight="1" spans="1:1">
      <c r="A323" t="str" s="17">
        <f>HYPERLINK("https://amazon.com/dp/B01I5NUXI2", "B01I5NUXI2")</f>
      </c>
      <c r="B323" t="s">
        <v>337</v>
      </c>
      <c r="C323" t="s">
        <v>15</v>
      </c>
      <c r="D323" t="n" s="18">
        <v>0</v>
      </c>
      <c r="E323" t="n" s="19">
        <v>0</v>
      </c>
      <c r="F323" t="n" s="20">
        <v>0</v>
      </c>
      <c r="G323" t="n" s="19">
        <v>0</v>
      </c>
      <c r="H323" t="n" s="21">
        <v>0</v>
      </c>
      <c r="I323" t="n" s="18">
        <v>0</v>
      </c>
      <c r="J323" t="n" s="18">
        <v>0</v>
      </c>
      <c r="K323" t="n" s="20">
        <v>0</v>
      </c>
      <c r="L323" t="n" s="21">
        <v>0</v>
      </c>
      <c r="M323" t="n" s="19">
        <v>0</v>
      </c>
    </row>
    <row r="324" hidden="0" ht="15" customHeight="1" spans="1:1">
      <c r="A324" t="str" s="17">
        <f>HYPERLINK("https://amazon.com/dp/B01N2U8YRF", "B01N2U8YRF")</f>
      </c>
      <c r="B324" t="s">
        <v>338</v>
      </c>
      <c r="C324" t="s">
        <v>15</v>
      </c>
      <c r="D324" t="n" s="18">
        <v>0</v>
      </c>
      <c r="E324" t="n" s="19">
        <v>0</v>
      </c>
      <c r="F324" t="n" s="20">
        <v>0</v>
      </c>
      <c r="G324" t="n" s="19">
        <v>0</v>
      </c>
      <c r="H324" t="n" s="21">
        <v>0</v>
      </c>
      <c r="I324" t="n" s="18">
        <v>0</v>
      </c>
      <c r="J324" t="n" s="18">
        <v>0</v>
      </c>
      <c r="K324" t="n" s="20">
        <v>0</v>
      </c>
      <c r="L324" t="n" s="21">
        <v>0</v>
      </c>
      <c r="M324" t="n" s="19">
        <v>0</v>
      </c>
    </row>
    <row r="325" hidden="0" ht="15" customHeight="1" spans="1:1">
      <c r="A325" t="str" s="17">
        <f>HYPERLINK("https://amazon.com/dp/B09TP595LZ", "B09TP595LZ")</f>
      </c>
      <c r="B325" t="s">
        <v>339</v>
      </c>
      <c r="C325" t="s">
        <v>22</v>
      </c>
      <c r="D325" t="n" s="18">
        <v>0</v>
      </c>
      <c r="E325" t="n" s="19">
        <v>0</v>
      </c>
      <c r="F325" t="n" s="20">
        <v>0</v>
      </c>
      <c r="G325" t="n" s="19">
        <v>0</v>
      </c>
      <c r="H325" t="n" s="21">
        <v>0</v>
      </c>
      <c r="I325" t="n" s="18">
        <v>0</v>
      </c>
      <c r="J325" t="n" s="18">
        <v>0</v>
      </c>
      <c r="K325" t="n" s="20">
        <v>0</v>
      </c>
      <c r="L325" t="n" s="21">
        <v>0</v>
      </c>
      <c r="M325" t="n" s="19">
        <v>0</v>
      </c>
    </row>
    <row r="326" hidden="0" ht="15" customHeight="1" spans="1:1">
      <c r="A326" t="str" s="17">
        <f>HYPERLINK("https://amazon.com/dp/B09ZBGWYH9", "B09ZBGWYH9")</f>
      </c>
      <c r="B326" t="s">
        <v>340</v>
      </c>
      <c r="C326" t="s">
        <v>22</v>
      </c>
      <c r="D326" t="n" s="18">
        <v>0</v>
      </c>
      <c r="E326" t="n" s="19">
        <v>0</v>
      </c>
      <c r="F326" t="n" s="20">
        <v>0</v>
      </c>
      <c r="G326" t="n" s="19">
        <v>3</v>
      </c>
      <c r="H326" t="n" s="21">
        <v>0</v>
      </c>
      <c r="I326" t="n" s="18">
        <v>0</v>
      </c>
      <c r="J326" t="n" s="18">
        <v>0</v>
      </c>
      <c r="K326" t="n" s="20">
        <v>0</v>
      </c>
      <c r="L326" t="n" s="21">
        <v>0</v>
      </c>
      <c r="M326" t="n" s="19">
        <v>0</v>
      </c>
    </row>
    <row r="327" hidden="0" ht="15" customHeight="1" spans="1:1">
      <c r="A327" t="str" s="17">
        <f>HYPERLINK("https://amazon.com/dp/B0CX4RTH5S", "B0CX4RTH5S")</f>
      </c>
      <c r="B327" t="s">
        <v>341</v>
      </c>
      <c r="C327" t="s">
        <v>15</v>
      </c>
      <c r="D327" t="n" s="18">
        <v>0</v>
      </c>
      <c r="E327" t="n" s="19">
        <v>0</v>
      </c>
      <c r="F327" t="n" s="20">
        <v>0</v>
      </c>
      <c r="G327" t="n" s="19">
        <v>0</v>
      </c>
      <c r="H327" t="n" s="21">
        <v>0</v>
      </c>
      <c r="I327" t="n" s="18">
        <v>0</v>
      </c>
      <c r="J327" t="n" s="18">
        <v>0</v>
      </c>
      <c r="K327" t="n" s="20">
        <v>0</v>
      </c>
      <c r="L327" t="n" s="21">
        <v>0</v>
      </c>
      <c r="M327" t="n" s="19">
        <v>0</v>
      </c>
    </row>
    <row r="328" hidden="0" ht="15" customHeight="1" spans="1:1">
      <c r="A328" t="str" s="17">
        <f>HYPERLINK("https://amazon.com/dp/B0CTGP8X4Q", "B0CTGP8X4Q")</f>
      </c>
      <c r="B328" t="s">
        <v>342</v>
      </c>
      <c r="C328" t="s">
        <v>15</v>
      </c>
      <c r="D328" t="n" s="18">
        <v>0</v>
      </c>
      <c r="E328" t="n" s="19">
        <v>0</v>
      </c>
      <c r="F328" t="n" s="20">
        <v>0</v>
      </c>
      <c r="G328" t="n" s="19">
        <v>0</v>
      </c>
      <c r="H328" t="n" s="21">
        <v>0</v>
      </c>
      <c r="I328" t="n" s="18">
        <v>0</v>
      </c>
      <c r="J328" t="n" s="18">
        <v>0</v>
      </c>
      <c r="K328" t="n" s="20">
        <v>0</v>
      </c>
      <c r="L328" t="n" s="21">
        <v>0</v>
      </c>
      <c r="M328" t="n" s="19">
        <v>0</v>
      </c>
    </row>
    <row r="329" hidden="0" ht="15" customHeight="1" spans="1:1">
      <c r="A329" t="str" s="17">
        <f>HYPERLINK("https://amazon.com/dp/B002SZEOLG", "B002SZEOLG")</f>
      </c>
      <c r="B329" t="s">
        <v>343</v>
      </c>
      <c r="C329" t="s">
        <v>15</v>
      </c>
      <c r="D329" t="n" s="18">
        <v>0</v>
      </c>
      <c r="E329" t="n" s="19">
        <v>0</v>
      </c>
      <c r="F329" t="n" s="20">
        <v>0</v>
      </c>
      <c r="G329" t="n" s="19">
        <v>0</v>
      </c>
      <c r="H329" t="n" s="21">
        <v>0</v>
      </c>
      <c r="I329" t="n" s="18">
        <v>0</v>
      </c>
      <c r="J329" t="n" s="18">
        <v>0</v>
      </c>
      <c r="K329" t="n" s="20">
        <v>0</v>
      </c>
      <c r="L329" t="n" s="21">
        <v>0</v>
      </c>
      <c r="M329" t="n" s="19">
        <v>0</v>
      </c>
    </row>
    <row r="330" hidden="0" ht="15" customHeight="1" spans="1:1">
      <c r="A330" t="str" s="17">
        <f>HYPERLINK("https://amazon.com/dp/B07GVNH2V8", "B07GVNH2V8")</f>
      </c>
      <c r="B330" t="s">
        <v>344</v>
      </c>
      <c r="C330" t="s">
        <v>15</v>
      </c>
      <c r="D330" t="n" s="18">
        <v>0</v>
      </c>
      <c r="E330" t="n" s="19">
        <v>0</v>
      </c>
      <c r="F330" t="n" s="20">
        <v>0</v>
      </c>
      <c r="G330" t="n" s="19">
        <v>0</v>
      </c>
      <c r="H330" t="n" s="21">
        <v>0</v>
      </c>
      <c r="I330" t="n" s="18">
        <v>0</v>
      </c>
      <c r="J330" t="n" s="18">
        <v>0</v>
      </c>
      <c r="K330" t="n" s="20">
        <v>0</v>
      </c>
      <c r="L330" t="n" s="21">
        <v>0</v>
      </c>
      <c r="M330" t="n" s="19">
        <v>0</v>
      </c>
    </row>
    <row r="331" hidden="0" ht="15" customHeight="1" spans="1:1">
      <c r="A331" t="str" s="17">
        <f>HYPERLINK("https://amazon.com/dp/B004I5J2XY", "B004I5J2XY")</f>
      </c>
      <c r="B331" t="s">
        <v>345</v>
      </c>
      <c r="C331" t="s">
        <v>15</v>
      </c>
      <c r="D331" t="n" s="18">
        <v>0</v>
      </c>
      <c r="E331" t="n" s="19">
        <v>0</v>
      </c>
      <c r="F331" t="n" s="20">
        <v>0</v>
      </c>
      <c r="G331" t="n" s="19">
        <v>0</v>
      </c>
      <c r="H331" t="n" s="21">
        <v>0</v>
      </c>
      <c r="I331" t="n" s="18">
        <v>0</v>
      </c>
      <c r="J331" t="n" s="18">
        <v>0</v>
      </c>
      <c r="K331" t="n" s="20">
        <v>0</v>
      </c>
      <c r="L331" t="n" s="21">
        <v>0</v>
      </c>
      <c r="M331" t="n" s="19">
        <v>0</v>
      </c>
    </row>
    <row r="332" hidden="0" ht="15" customHeight="1" spans="1:1">
      <c r="A332" t="str" s="17">
        <f>HYPERLINK("https://amazon.com/dp/B08GDBVJXH", "B08GDBVJXH")</f>
      </c>
      <c r="B332" t="s">
        <v>346</v>
      </c>
      <c r="C332" t="s">
        <v>15</v>
      </c>
      <c r="D332" t="n" s="18">
        <v>0</v>
      </c>
      <c r="E332" t="n" s="19">
        <v>0</v>
      </c>
      <c r="F332" t="n" s="20">
        <v>0</v>
      </c>
      <c r="G332" t="n" s="19">
        <v>0</v>
      </c>
      <c r="H332" t="n" s="21">
        <v>0</v>
      </c>
      <c r="I332" t="n" s="18">
        <v>0</v>
      </c>
      <c r="J332" t="n" s="18">
        <v>0</v>
      </c>
      <c r="K332" t="n" s="20">
        <v>0</v>
      </c>
      <c r="L332" t="n" s="21">
        <v>0</v>
      </c>
      <c r="M332" t="n" s="19">
        <v>0</v>
      </c>
    </row>
    <row r="333" hidden="0" ht="15" customHeight="1" spans="1:1">
      <c r="A333" t="str" s="17">
        <f>HYPERLINK("https://amazon.com/dp/B08D8QTNKG", "B08D8QTNKG")</f>
      </c>
      <c r="B333" t="s">
        <v>347</v>
      </c>
      <c r="C333" t="s">
        <v>15</v>
      </c>
      <c r="D333" t="n" s="18">
        <v>0</v>
      </c>
      <c r="E333" t="n" s="19">
        <v>0</v>
      </c>
      <c r="F333" t="n" s="20">
        <v>0</v>
      </c>
      <c r="G333" t="n" s="19">
        <v>4</v>
      </c>
      <c r="H333" t="n" s="21">
        <v>0</v>
      </c>
      <c r="I333" t="n" s="18">
        <v>0</v>
      </c>
      <c r="J333" t="n" s="18">
        <v>0</v>
      </c>
      <c r="K333" t="n" s="20">
        <v>0</v>
      </c>
      <c r="L333" t="n" s="21">
        <v>0</v>
      </c>
      <c r="M333" t="n" s="19">
        <v>0</v>
      </c>
    </row>
    <row r="334" hidden="0" ht="15" customHeight="1" spans="1:1">
      <c r="A334" t="str" s="17">
        <f>HYPERLINK("https://amazon.com/dp/B07G4KTPYT", "B07G4KTPYT")</f>
      </c>
      <c r="B334" t="s">
        <v>348</v>
      </c>
      <c r="C334" t="s">
        <v>15</v>
      </c>
      <c r="D334" t="n" s="18">
        <v>0</v>
      </c>
      <c r="E334" t="n" s="19">
        <v>0</v>
      </c>
      <c r="F334" t="n" s="20">
        <v>0</v>
      </c>
      <c r="G334" t="n" s="19">
        <v>0</v>
      </c>
      <c r="H334" t="n" s="21">
        <v>0</v>
      </c>
      <c r="I334" t="n" s="18">
        <v>0</v>
      </c>
      <c r="J334" t="n" s="18">
        <v>0</v>
      </c>
      <c r="K334" t="n" s="20">
        <v>0</v>
      </c>
      <c r="L334" t="n" s="21">
        <v>0</v>
      </c>
      <c r="M334" t="n" s="19">
        <v>0</v>
      </c>
    </row>
    <row r="335" hidden="0" ht="15" customHeight="1" spans="1:1">
      <c r="A335" t="str" s="17">
        <f>HYPERLINK("https://amazon.com/dp/B0859M87ZR", "B0859M87ZR")</f>
      </c>
      <c r="B335" t="s">
        <v>349</v>
      </c>
      <c r="C335" t="s">
        <v>15</v>
      </c>
      <c r="D335" t="n" s="18">
        <v>0</v>
      </c>
      <c r="E335" t="n" s="19">
        <v>0</v>
      </c>
      <c r="F335" t="n" s="20">
        <v>0</v>
      </c>
      <c r="G335" t="n" s="19">
        <v>0</v>
      </c>
      <c r="H335" t="n" s="21">
        <v>0</v>
      </c>
      <c r="I335" t="n" s="18">
        <v>0</v>
      </c>
      <c r="J335" t="n" s="18">
        <v>0</v>
      </c>
      <c r="K335" t="n" s="20">
        <v>0</v>
      </c>
      <c r="L335" t="n" s="21">
        <v>0</v>
      </c>
      <c r="M335" t="n" s="19">
        <v>0</v>
      </c>
    </row>
    <row r="336" hidden="0" ht="15" customHeight="1" spans="1:1">
      <c r="A336" t="str" s="17">
        <f>HYPERLINK("https://amazon.com/dp/B0D9MGRB15", "B0D9MGRB15")</f>
      </c>
      <c r="B336" t="s">
        <v>350</v>
      </c>
      <c r="C336" t="s">
        <v>22</v>
      </c>
      <c r="D336" t="n" s="18">
        <v>0</v>
      </c>
      <c r="E336" t="n" s="19">
        <v>0</v>
      </c>
      <c r="F336" t="n" s="20">
        <v>0</v>
      </c>
      <c r="G336" t="n" s="19">
        <v>0</v>
      </c>
      <c r="H336" t="n" s="21">
        <v>0</v>
      </c>
      <c r="I336" t="n" s="18">
        <v>0</v>
      </c>
      <c r="J336" t="n" s="18">
        <v>0</v>
      </c>
      <c r="K336" t="n" s="20">
        <v>0</v>
      </c>
      <c r="L336" t="n" s="21">
        <v>0</v>
      </c>
      <c r="M336" t="n" s="19">
        <v>0</v>
      </c>
    </row>
    <row r="337" hidden="0" ht="15" customHeight="1" spans="1:1">
      <c r="A337" t="str" s="17">
        <f>HYPERLINK("https://amazon.com/dp/B08GDD1JPC", "B08GDD1JPC")</f>
      </c>
      <c r="B337" t="s">
        <v>351</v>
      </c>
      <c r="C337" t="s">
        <v>15</v>
      </c>
      <c r="D337" t="n" s="18">
        <v>0</v>
      </c>
      <c r="E337" t="n" s="19">
        <v>0</v>
      </c>
      <c r="F337" t="n" s="20">
        <v>0</v>
      </c>
      <c r="G337" t="n" s="19">
        <v>0</v>
      </c>
      <c r="H337" t="n" s="21">
        <v>0</v>
      </c>
      <c r="I337" t="n" s="18">
        <v>0</v>
      </c>
      <c r="J337" t="n" s="18">
        <v>0</v>
      </c>
      <c r="K337" t="n" s="20">
        <v>0</v>
      </c>
      <c r="L337" t="n" s="21">
        <v>0</v>
      </c>
      <c r="M337" t="n" s="19">
        <v>0</v>
      </c>
    </row>
    <row r="338" hidden="0" ht="15" customHeight="1" spans="1:1">
      <c r="A338" t="str" s="17">
        <f>HYPERLINK("https://amazon.com/dp/B08CPHW65R", "B08CPHW65R")</f>
      </c>
      <c r="B338" t="s">
        <v>352</v>
      </c>
      <c r="C338" t="s">
        <v>15</v>
      </c>
      <c r="D338" t="n" s="18">
        <v>0</v>
      </c>
      <c r="E338" t="n" s="19">
        <v>0</v>
      </c>
      <c r="F338" t="n" s="20">
        <v>0</v>
      </c>
      <c r="G338" t="n" s="19">
        <v>0</v>
      </c>
      <c r="H338" t="n" s="21">
        <v>0</v>
      </c>
      <c r="I338" t="n" s="18">
        <v>0</v>
      </c>
      <c r="J338" t="n" s="18">
        <v>0</v>
      </c>
      <c r="K338" t="n" s="20">
        <v>0</v>
      </c>
      <c r="L338" t="n" s="21">
        <v>0</v>
      </c>
      <c r="M338" t="n" s="19">
        <v>0</v>
      </c>
    </row>
    <row r="339" hidden="0" ht="15" customHeight="1" spans="1:1">
      <c r="A339" t="str" s="17">
        <f>HYPERLINK("https://amazon.com/dp/B0BG5HX693", "B0BG5HX693")</f>
      </c>
      <c r="B339" t="s">
        <v>353</v>
      </c>
      <c r="C339" t="s">
        <v>15</v>
      </c>
      <c r="D339" t="n" s="18">
        <v>0</v>
      </c>
      <c r="E339" t="n" s="19">
        <v>0</v>
      </c>
      <c r="F339" t="n" s="20">
        <v>0</v>
      </c>
      <c r="G339" t="n" s="19">
        <v>0</v>
      </c>
      <c r="H339" t="n" s="21">
        <v>0</v>
      </c>
      <c r="I339" t="n" s="18">
        <v>0</v>
      </c>
      <c r="J339" t="n" s="18">
        <v>0</v>
      </c>
      <c r="K339" t="n" s="20">
        <v>0</v>
      </c>
      <c r="L339" t="n" s="21">
        <v>0</v>
      </c>
      <c r="M339" t="n" s="19">
        <v>0</v>
      </c>
    </row>
    <row r="340" hidden="0" ht="15" customHeight="1" spans="1:1">
      <c r="A340" t="str" s="17">
        <f>HYPERLINK("https://amazon.com/dp/B00634PLTW", "B00634PLTW")</f>
      </c>
      <c r="B340" t="s">
        <v>354</v>
      </c>
      <c r="C340" t="s">
        <v>15</v>
      </c>
      <c r="D340" t="n" s="18">
        <v>0</v>
      </c>
      <c r="E340" t="n" s="19">
        <v>0</v>
      </c>
      <c r="F340" t="n" s="20">
        <v>0</v>
      </c>
      <c r="G340" t="n" s="19">
        <v>332</v>
      </c>
      <c r="H340" t="n" s="21">
        <v>0</v>
      </c>
      <c r="I340" t="n" s="18">
        <v>0</v>
      </c>
      <c r="J340" t="n" s="18">
        <v>0</v>
      </c>
      <c r="K340" t="n" s="20">
        <v>0</v>
      </c>
      <c r="L340" t="n" s="21">
        <v>0</v>
      </c>
      <c r="M340" t="n" s="19">
        <v>0</v>
      </c>
    </row>
    <row r="341" hidden="0" ht="15" customHeight="1" spans="1:1">
      <c r="A341" t="str" s="17">
        <f>HYPERLINK("https://amazon.com/dp/B0BRKF2CB1", "B0BRKF2CB1")</f>
      </c>
      <c r="B341" t="s">
        <v>355</v>
      </c>
      <c r="C341" t="s">
        <v>15</v>
      </c>
      <c r="D341" t="n" s="18">
        <v>0</v>
      </c>
      <c r="E341" t="n" s="19">
        <v>0</v>
      </c>
      <c r="F341" t="n" s="20">
        <v>0</v>
      </c>
      <c r="G341" t="n" s="19">
        <v>0</v>
      </c>
      <c r="H341" t="n" s="21">
        <v>0</v>
      </c>
      <c r="I341" t="n" s="18">
        <v>0</v>
      </c>
      <c r="J341" t="n" s="18">
        <v>0</v>
      </c>
      <c r="K341" t="n" s="20">
        <v>0</v>
      </c>
      <c r="L341" t="n" s="21">
        <v>0</v>
      </c>
      <c r="M341" t="n" s="19">
        <v>0</v>
      </c>
    </row>
    <row r="342" hidden="0" ht="15" customHeight="1" spans="1:1">
      <c r="A342" t="str" s="17">
        <f>HYPERLINK("https://amazon.com/dp/B0GQCH1SVS", "B0GQCH1SVS")</f>
      </c>
      <c r="B342" t="s">
        <v>356</v>
      </c>
      <c r="C342" t="s">
        <v>15</v>
      </c>
      <c r="D342" t="n" s="18">
        <v>0</v>
      </c>
      <c r="E342" t="n" s="19">
        <v>0</v>
      </c>
      <c r="F342" t="n" s="20">
        <v>0</v>
      </c>
      <c r="G342" t="n" s="19">
        <v>0</v>
      </c>
      <c r="H342" t="n" s="21">
        <v>0</v>
      </c>
      <c r="I342" t="n" s="18">
        <v>0</v>
      </c>
      <c r="J342" t="n" s="18">
        <v>0</v>
      </c>
      <c r="K342" t="n" s="20">
        <v>0</v>
      </c>
      <c r="L342" t="n" s="21">
        <v>0</v>
      </c>
      <c r="M342" t="n" s="19">
        <v>0</v>
      </c>
    </row>
    <row r="343" hidden="0" ht="15" customHeight="1" spans="1:1">
      <c r="A343" t="str" s="17">
        <f>HYPERLINK("https://amazon.com/dp/B0BT9KRL8Z", "B0BT9KRL8Z")</f>
      </c>
      <c r="B343" t="s">
        <v>357</v>
      </c>
      <c r="C343" t="s">
        <v>15</v>
      </c>
      <c r="D343" t="n" s="18">
        <v>0</v>
      </c>
      <c r="E343" t="n" s="19">
        <v>0</v>
      </c>
      <c r="F343" t="n" s="20">
        <v>0</v>
      </c>
      <c r="G343" t="n" s="19">
        <v>0</v>
      </c>
      <c r="H343" t="n" s="21">
        <v>0</v>
      </c>
      <c r="I343" t="n" s="18">
        <v>0</v>
      </c>
      <c r="J343" t="n" s="18">
        <v>0</v>
      </c>
      <c r="K343" t="n" s="20">
        <v>0</v>
      </c>
      <c r="L343" t="n" s="21">
        <v>0</v>
      </c>
      <c r="M343" t="n" s="19">
        <v>0</v>
      </c>
    </row>
    <row r="344" hidden="0" ht="15" customHeight="1" spans="1:1">
      <c r="A344" t="str" s="17">
        <f>HYPERLINK("https://amazon.com/dp/B074N9PHN6", "B074N9PHN6")</f>
      </c>
      <c r="B344" t="s">
        <v>358</v>
      </c>
      <c r="C344" t="s">
        <v>15</v>
      </c>
      <c r="D344" t="n" s="18">
        <v>0</v>
      </c>
      <c r="E344" t="n" s="19">
        <v>0</v>
      </c>
      <c r="F344" t="n" s="20">
        <v>0</v>
      </c>
      <c r="G344" t="n" s="19">
        <v>0</v>
      </c>
      <c r="H344" t="n" s="21">
        <v>0</v>
      </c>
      <c r="I344" t="n" s="18">
        <v>0</v>
      </c>
      <c r="J344" t="n" s="18">
        <v>0</v>
      </c>
      <c r="K344" t="n" s="20">
        <v>0</v>
      </c>
      <c r="L344" t="n" s="21">
        <v>0</v>
      </c>
      <c r="M344" t="n" s="19">
        <v>0</v>
      </c>
    </row>
    <row r="345" hidden="0" ht="15" customHeight="1" spans="1:1">
      <c r="A345" t="str" s="17">
        <f>HYPERLINK("https://amazon.com/dp/B07Z8833C7", "B07Z8833C7")</f>
      </c>
      <c r="B345" t="s">
        <v>359</v>
      </c>
      <c r="C345" t="s">
        <v>15</v>
      </c>
      <c r="D345" t="n" s="18">
        <v>0</v>
      </c>
      <c r="E345" t="n" s="19">
        <v>0</v>
      </c>
      <c r="F345" t="n" s="20">
        <v>0</v>
      </c>
      <c r="G345" t="n" s="19">
        <v>0</v>
      </c>
      <c r="H345" t="n" s="21">
        <v>0</v>
      </c>
      <c r="I345" t="n" s="18">
        <v>0</v>
      </c>
      <c r="J345" t="n" s="18">
        <v>0</v>
      </c>
      <c r="K345" t="n" s="20">
        <v>0</v>
      </c>
      <c r="L345" t="n" s="21">
        <v>0</v>
      </c>
      <c r="M345" t="n" s="19">
        <v>0</v>
      </c>
    </row>
    <row r="346" hidden="0" ht="15" customHeight="1" spans="1:1">
      <c r="A346" t="str" s="17">
        <f>HYPERLINK("https://amazon.com/dp/B097C6JS3Y", "B097C6JS3Y")</f>
      </c>
      <c r="B346" t="s">
        <v>360</v>
      </c>
      <c r="C346" t="s">
        <v>15</v>
      </c>
      <c r="D346" t="n" s="18">
        <v>0</v>
      </c>
      <c r="E346" t="n" s="19">
        <v>0</v>
      </c>
      <c r="F346" t="n" s="20">
        <v>0</v>
      </c>
      <c r="G346" t="n" s="19">
        <v>0</v>
      </c>
      <c r="H346" t="n" s="21">
        <v>0</v>
      </c>
      <c r="I346" t="n" s="18">
        <v>0</v>
      </c>
      <c r="J346" t="n" s="18">
        <v>0</v>
      </c>
      <c r="K346" t="n" s="20">
        <v>0</v>
      </c>
      <c r="L346" t="n" s="21">
        <v>0</v>
      </c>
      <c r="M346" t="n" s="19">
        <v>0</v>
      </c>
    </row>
    <row r="347" hidden="0" ht="15" customHeight="1" spans="1:1">
      <c r="A347" t="str" s="17">
        <f>HYPERLINK("https://amazon.com/dp/B095K48F52", "B095K48F52")</f>
      </c>
      <c r="B347" t="s">
        <v>361</v>
      </c>
      <c r="C347" t="s">
        <v>15</v>
      </c>
      <c r="D347" t="n" s="18">
        <v>0</v>
      </c>
      <c r="E347" t="n" s="19">
        <v>0</v>
      </c>
      <c r="F347" t="n" s="20">
        <v>0</v>
      </c>
      <c r="G347" t="n" s="19">
        <v>0</v>
      </c>
      <c r="H347" t="n" s="21">
        <v>0</v>
      </c>
      <c r="I347" t="n" s="18">
        <v>0</v>
      </c>
      <c r="J347" t="n" s="18">
        <v>0</v>
      </c>
      <c r="K347" t="n" s="20">
        <v>0</v>
      </c>
      <c r="L347" t="n" s="21">
        <v>0</v>
      </c>
      <c r="M347" t="n" s="19">
        <v>0</v>
      </c>
    </row>
    <row r="348" hidden="0" ht="15" customHeight="1" spans="1:1">
      <c r="A348" t="str" s="17">
        <f>HYPERLINK("https://amazon.com/dp/B0BJ29T9LC", "B0BJ29T9LC")</f>
      </c>
      <c r="B348" t="s">
        <v>362</v>
      </c>
      <c r="C348" t="s">
        <v>15</v>
      </c>
      <c r="D348" t="n" s="18">
        <v>0</v>
      </c>
      <c r="E348" t="n" s="19">
        <v>0</v>
      </c>
      <c r="F348" t="n" s="20">
        <v>0</v>
      </c>
      <c r="G348" t="n" s="19">
        <v>0</v>
      </c>
      <c r="H348" t="n" s="21">
        <v>0</v>
      </c>
      <c r="I348" t="n" s="18">
        <v>0</v>
      </c>
      <c r="J348" t="n" s="18">
        <v>0</v>
      </c>
      <c r="K348" t="n" s="20">
        <v>0</v>
      </c>
      <c r="L348" t="n" s="21">
        <v>0</v>
      </c>
      <c r="M348" t="n" s="19">
        <v>0</v>
      </c>
    </row>
    <row r="349" hidden="0" ht="15" customHeight="1" spans="1:1">
      <c r="A349" t="str" s="17">
        <f>HYPERLINK("https://amazon.com/dp/B08XNJPSNW", "B08XNJPSNW")</f>
      </c>
      <c r="B349" t="s">
        <v>363</v>
      </c>
      <c r="C349" t="s">
        <v>15</v>
      </c>
      <c r="D349" t="n" s="18">
        <v>0</v>
      </c>
      <c r="E349" t="n" s="19">
        <v>0</v>
      </c>
      <c r="F349" t="n" s="20">
        <v>0</v>
      </c>
      <c r="G349" t="n" s="19">
        <v>0</v>
      </c>
      <c r="H349" t="n" s="21">
        <v>0</v>
      </c>
      <c r="I349" t="n" s="18">
        <v>0</v>
      </c>
      <c r="J349" t="n" s="18">
        <v>0</v>
      </c>
      <c r="K349" t="n" s="20">
        <v>0</v>
      </c>
      <c r="L349" t="n" s="21">
        <v>0</v>
      </c>
      <c r="M349" t="n" s="19">
        <v>0</v>
      </c>
    </row>
    <row r="350" hidden="0" ht="15" customHeight="1" spans="1:1">
      <c r="A350" t="str" s="17">
        <f>HYPERLINK("https://amazon.com/dp/B084KJF5DJ", "B084KJF5DJ")</f>
      </c>
      <c r="B350" t="s">
        <v>364</v>
      </c>
      <c r="C350" t="s">
        <v>15</v>
      </c>
      <c r="D350" t="n" s="18">
        <v>0</v>
      </c>
      <c r="E350" t="n" s="19">
        <v>0</v>
      </c>
      <c r="F350" t="n" s="20">
        <v>0</v>
      </c>
      <c r="G350" t="n" s="19">
        <v>0</v>
      </c>
      <c r="H350" t="n" s="21">
        <v>0</v>
      </c>
      <c r="I350" t="n" s="18">
        <v>0</v>
      </c>
      <c r="J350" t="n" s="18">
        <v>0</v>
      </c>
      <c r="K350" t="n" s="20">
        <v>0</v>
      </c>
      <c r="L350" t="n" s="21">
        <v>0</v>
      </c>
      <c r="M350" t="n" s="19">
        <v>0</v>
      </c>
    </row>
    <row r="351" hidden="0" ht="15" customHeight="1" spans="1:1">
      <c r="A351" t="str" s="17">
        <f>HYPERLINK("https://amazon.com/dp/B0FQV6J9DB", "B0FQV6J9DB")</f>
      </c>
      <c r="B351" t="s">
        <v>365</v>
      </c>
      <c r="C351" t="s">
        <v>15</v>
      </c>
      <c r="D351" t="n" s="18">
        <v>0</v>
      </c>
      <c r="E351" t="n" s="19">
        <v>0</v>
      </c>
      <c r="F351" t="n" s="20">
        <v>0</v>
      </c>
      <c r="G351" t="n" s="19">
        <v>0</v>
      </c>
      <c r="H351" t="n" s="21">
        <v>0</v>
      </c>
      <c r="I351" t="n" s="18">
        <v>0</v>
      </c>
      <c r="J351" t="n" s="18">
        <v>0</v>
      </c>
      <c r="K351" t="n" s="20">
        <v>0</v>
      </c>
      <c r="L351" t="n" s="21">
        <v>0</v>
      </c>
      <c r="M351" t="n" s="19">
        <v>0</v>
      </c>
    </row>
    <row r="352" hidden="0" ht="15" customHeight="1" spans="1:1">
      <c r="A352" t="str" s="17">
        <f>HYPERLINK("https://amazon.com/dp/B0FJLSHKB5", "B0FJLSHKB5")</f>
      </c>
      <c r="B352" t="s">
        <v>366</v>
      </c>
      <c r="C352" t="s">
        <v>15</v>
      </c>
      <c r="D352" t="n" s="18">
        <v>0</v>
      </c>
      <c r="E352" t="n" s="19">
        <v>0</v>
      </c>
      <c r="F352" t="n" s="20">
        <v>0</v>
      </c>
      <c r="G352" t="n" s="19">
        <v>0</v>
      </c>
      <c r="H352" t="n" s="21">
        <v>0</v>
      </c>
      <c r="I352" t="n" s="18">
        <v>0</v>
      </c>
      <c r="J352" t="n" s="18">
        <v>0</v>
      </c>
      <c r="K352" t="n" s="20">
        <v>0</v>
      </c>
      <c r="L352" t="n" s="21">
        <v>0</v>
      </c>
      <c r="M352" t="n" s="19">
        <v>0</v>
      </c>
    </row>
    <row r="353" hidden="0" ht="15" customHeight="1" spans="1:1">
      <c r="A353" t="str" s="17">
        <f>HYPERLINK("https://amazon.com/dp/B08GDBXVMS", "B08GDBXVMS")</f>
      </c>
      <c r="B353" t="s">
        <v>367</v>
      </c>
      <c r="C353" t="s">
        <v>15</v>
      </c>
      <c r="D353" t="n" s="18">
        <v>0</v>
      </c>
      <c r="E353" t="n" s="19">
        <v>0</v>
      </c>
      <c r="F353" t="n" s="20">
        <v>0</v>
      </c>
      <c r="G353" t="n" s="19">
        <v>0</v>
      </c>
      <c r="H353" t="n" s="21">
        <v>0</v>
      </c>
      <c r="I353" t="n" s="18">
        <v>0</v>
      </c>
      <c r="J353" t="n" s="18">
        <v>0</v>
      </c>
      <c r="K353" t="n" s="20">
        <v>0</v>
      </c>
      <c r="L353" t="n" s="21">
        <v>0</v>
      </c>
      <c r="M353" t="n" s="19">
        <v>0</v>
      </c>
    </row>
    <row r="354" hidden="0" ht="15" customHeight="1" spans="1:1">
      <c r="A354" t="str" s="17">
        <f>HYPERLINK("https://amazon.com/dp/B07YP3T5H7", "B07YP3T5H7")</f>
      </c>
      <c r="B354" t="s">
        <v>368</v>
      </c>
      <c r="C354" t="s">
        <v>15</v>
      </c>
      <c r="D354" t="n" s="18">
        <v>0</v>
      </c>
      <c r="E354" t="n" s="19">
        <v>0</v>
      </c>
      <c r="F354" t="n" s="20">
        <v>0</v>
      </c>
      <c r="G354" t="n" s="19">
        <v>0</v>
      </c>
      <c r="H354" t="n" s="21">
        <v>0</v>
      </c>
      <c r="I354" t="n" s="18">
        <v>0</v>
      </c>
      <c r="J354" t="n" s="18">
        <v>0</v>
      </c>
      <c r="K354" t="n" s="20">
        <v>0</v>
      </c>
      <c r="L354" t="n" s="21">
        <v>0</v>
      </c>
      <c r="M354" t="n" s="19">
        <v>0</v>
      </c>
    </row>
    <row r="355" hidden="0" ht="15" customHeight="1" spans="1:1">
      <c r="A355" t="str" s="17">
        <f>HYPERLINK("https://amazon.com/dp/B01LX8Z8TP", "B01LX8Z8TP")</f>
      </c>
      <c r="B355" t="s">
        <v>369</v>
      </c>
      <c r="C355" t="s">
        <v>15</v>
      </c>
      <c r="D355" t="n" s="18">
        <v>0</v>
      </c>
      <c r="E355" t="n" s="19">
        <v>0</v>
      </c>
      <c r="F355" t="n" s="20">
        <v>0</v>
      </c>
      <c r="G355" t="n" s="19">
        <v>0</v>
      </c>
      <c r="H355" t="n" s="21">
        <v>0</v>
      </c>
      <c r="I355" t="n" s="18">
        <v>0</v>
      </c>
      <c r="J355" t="n" s="18">
        <v>0</v>
      </c>
      <c r="K355" t="n" s="20">
        <v>0</v>
      </c>
      <c r="L355" t="n" s="21">
        <v>0</v>
      </c>
      <c r="M355" t="n" s="19">
        <v>0</v>
      </c>
    </row>
    <row r="356" hidden="0" ht="15" customHeight="1" spans="1:1">
      <c r="A356" t="str" s="17">
        <f>HYPERLINK("https://amazon.com/dp/B010C68N7S", "B010C68N7S")</f>
      </c>
      <c r="B356" t="s">
        <v>370</v>
      </c>
      <c r="C356" t="s">
        <v>22</v>
      </c>
      <c r="D356" t="n" s="18">
        <v>0</v>
      </c>
      <c r="E356" t="n" s="19">
        <v>0</v>
      </c>
      <c r="F356" t="n" s="20">
        <v>0</v>
      </c>
      <c r="G356" t="n" s="19">
        <v>0</v>
      </c>
      <c r="H356" t="n" s="21">
        <v>0</v>
      </c>
      <c r="I356" t="n" s="18">
        <v>0</v>
      </c>
      <c r="J356" t="n" s="18">
        <v>0</v>
      </c>
      <c r="K356" t="n" s="20">
        <v>0</v>
      </c>
      <c r="L356" t="n" s="21">
        <v>0</v>
      </c>
      <c r="M356" t="n" s="19">
        <v>0</v>
      </c>
    </row>
    <row r="357" hidden="0" ht="15" customHeight="1" spans="1:1">
      <c r="A357" t="str" s="17">
        <f>HYPERLINK("https://amazon.com/dp/B016LL724S", "B016LL724S")</f>
      </c>
      <c r="B357" t="s">
        <v>371</v>
      </c>
      <c r="C357" t="s">
        <v>15</v>
      </c>
      <c r="D357" t="n" s="18">
        <v>0</v>
      </c>
      <c r="E357" t="n" s="19">
        <v>0</v>
      </c>
      <c r="F357" t="n" s="20">
        <v>0</v>
      </c>
      <c r="G357" t="n" s="19">
        <v>0</v>
      </c>
      <c r="H357" t="n" s="21">
        <v>0</v>
      </c>
      <c r="I357" t="n" s="18">
        <v>0</v>
      </c>
      <c r="J357" t="n" s="18">
        <v>0</v>
      </c>
      <c r="K357" t="n" s="20">
        <v>0</v>
      </c>
      <c r="L357" t="n" s="21">
        <v>0</v>
      </c>
      <c r="M357" t="n" s="19">
        <v>0</v>
      </c>
    </row>
    <row r="358" hidden="0" ht="15" customHeight="1" spans="1:1">
      <c r="A358" t="str" s="17">
        <f>HYPERLINK("https://amazon.com/dp/B0C2HPR8T1", "B0C2HPR8T1")</f>
      </c>
      <c r="B358" t="s">
        <v>372</v>
      </c>
      <c r="C358" t="s">
        <v>22</v>
      </c>
      <c r="D358" t="n" s="18">
        <v>0</v>
      </c>
      <c r="E358" t="n" s="19">
        <v>0</v>
      </c>
      <c r="F358" t="n" s="20">
        <v>0</v>
      </c>
      <c r="G358" t="n" s="19">
        <v>0</v>
      </c>
      <c r="H358" t="n" s="21">
        <v>0</v>
      </c>
      <c r="I358" t="n" s="18">
        <v>0</v>
      </c>
      <c r="J358" t="n" s="18">
        <v>0</v>
      </c>
      <c r="K358" t="n" s="20">
        <v>0</v>
      </c>
      <c r="L358" t="n" s="21">
        <v>0</v>
      </c>
      <c r="M358" t="n" s="19">
        <v>0</v>
      </c>
    </row>
    <row r="359" hidden="0" ht="15" customHeight="1" spans="1:1">
      <c r="A359" t="str" s="17">
        <f>HYPERLINK("https://amazon.com/dp/B0FMQZM6YN", "B0FMQZM6YN")</f>
      </c>
      <c r="B359" t="s">
        <v>373</v>
      </c>
      <c r="C359" t="s">
        <v>22</v>
      </c>
      <c r="D359" t="n" s="18">
        <v>0</v>
      </c>
      <c r="E359" t="n" s="19">
        <v>0</v>
      </c>
      <c r="F359" t="n" s="20">
        <v>0</v>
      </c>
      <c r="G359" t="n" s="19">
        <v>0</v>
      </c>
      <c r="H359" t="n" s="21">
        <v>0</v>
      </c>
      <c r="I359" t="n" s="18">
        <v>0</v>
      </c>
      <c r="J359" t="n" s="18">
        <v>0</v>
      </c>
      <c r="K359" t="n" s="20">
        <v>0</v>
      </c>
      <c r="L359" t="n" s="21">
        <v>0</v>
      </c>
      <c r="M359" t="n" s="19">
        <v>0</v>
      </c>
    </row>
    <row r="360" hidden="0" ht="15" customHeight="1" spans="1:1">
      <c r="A360" t="str" s="17">
        <f>HYPERLINK("https://amazon.com/dp/B0CKPVMVMT", "B0CKPVMVMT")</f>
      </c>
      <c r="B360" t="s">
        <v>374</v>
      </c>
      <c r="C360" t="s">
        <v>15</v>
      </c>
      <c r="D360" t="n" s="18">
        <v>0</v>
      </c>
      <c r="E360" t="n" s="19">
        <v>0</v>
      </c>
      <c r="F360" t="n" s="20">
        <v>0</v>
      </c>
      <c r="G360" t="n" s="19">
        <v>0</v>
      </c>
      <c r="H360" t="n" s="21">
        <v>0</v>
      </c>
      <c r="I360" t="n" s="18">
        <v>0</v>
      </c>
      <c r="J360" t="n" s="18">
        <v>0</v>
      </c>
      <c r="K360" t="n" s="20">
        <v>0</v>
      </c>
      <c r="L360" t="n" s="21">
        <v>0</v>
      </c>
      <c r="M360" t="n" s="19">
        <v>0</v>
      </c>
    </row>
    <row r="361" hidden="0" ht="15" customHeight="1" spans="1:1">
      <c r="A361" t="str" s="17">
        <f>HYPERLINK("https://amazon.com/dp/B0FDB9HS1F", "B0FDB9HS1F")</f>
      </c>
      <c r="B361" t="s">
        <v>375</v>
      </c>
      <c r="C361" t="s">
        <v>22</v>
      </c>
      <c r="D361" t="n" s="18">
        <v>0</v>
      </c>
      <c r="E361" t="n" s="19">
        <v>0</v>
      </c>
      <c r="F361" t="n" s="20">
        <v>0</v>
      </c>
      <c r="G361" t="n" s="19">
        <v>0</v>
      </c>
      <c r="H361" t="n" s="21">
        <v>0</v>
      </c>
      <c r="I361" t="n" s="18">
        <v>0</v>
      </c>
      <c r="J361" t="n" s="18">
        <v>0</v>
      </c>
      <c r="K361" t="n" s="20">
        <v>0</v>
      </c>
      <c r="L361" t="n" s="21">
        <v>0</v>
      </c>
      <c r="M361" t="n" s="19">
        <v>0</v>
      </c>
    </row>
    <row r="362" hidden="0" ht="15" customHeight="1" spans="1:1">
      <c r="A362" t="str" s="17">
        <f>HYPERLINK("https://amazon.com/dp/B01LLAK1UG", "B01LLAK1UG")</f>
      </c>
      <c r="B362" t="s">
        <v>376</v>
      </c>
      <c r="C362" t="s">
        <v>15</v>
      </c>
      <c r="D362" t="n" s="18">
        <v>0</v>
      </c>
      <c r="E362" t="n" s="19">
        <v>0</v>
      </c>
      <c r="F362" t="n" s="20">
        <v>0</v>
      </c>
      <c r="G362" t="n" s="19">
        <v>0</v>
      </c>
      <c r="H362" t="n" s="21">
        <v>0</v>
      </c>
      <c r="I362" t="n" s="18">
        <v>0</v>
      </c>
      <c r="J362" t="n" s="18">
        <v>0</v>
      </c>
      <c r="K362" t="n" s="20">
        <v>0</v>
      </c>
      <c r="L362" t="n" s="21">
        <v>0</v>
      </c>
      <c r="M362" t="n" s="19">
        <v>0</v>
      </c>
    </row>
    <row r="363" hidden="0" ht="15" customHeight="1" spans="1:1">
      <c r="A363" t="str" s="17">
        <f>HYPERLINK("https://amazon.com/dp/B0BMX82Y3J", "B0BMX82Y3J")</f>
      </c>
      <c r="B363" t="s">
        <v>377</v>
      </c>
      <c r="C363" t="s">
        <v>15</v>
      </c>
      <c r="D363" t="n" s="18">
        <v>0</v>
      </c>
      <c r="E363" t="n" s="19">
        <v>0</v>
      </c>
      <c r="F363" t="n" s="20">
        <v>0</v>
      </c>
      <c r="G363" t="n" s="19">
        <v>0</v>
      </c>
      <c r="H363" t="n" s="21">
        <v>0</v>
      </c>
      <c r="I363" t="n" s="18">
        <v>0</v>
      </c>
      <c r="J363" t="n" s="18">
        <v>0</v>
      </c>
      <c r="K363" t="n" s="20">
        <v>0</v>
      </c>
      <c r="L363" t="n" s="21">
        <v>0</v>
      </c>
      <c r="M363" t="n" s="19">
        <v>0</v>
      </c>
    </row>
    <row r="364" hidden="0" ht="15" customHeight="1" spans="1:1">
      <c r="A364" t="str" s="17">
        <f>HYPERLINK("https://amazon.com/dp/B01DW6Z2YM", "B01DW6Z2YM")</f>
      </c>
      <c r="B364" t="s">
        <v>378</v>
      </c>
      <c r="C364" t="s">
        <v>15</v>
      </c>
      <c r="D364" t="n" s="18">
        <v>0</v>
      </c>
      <c r="E364" t="n" s="19">
        <v>0</v>
      </c>
      <c r="F364" t="n" s="20">
        <v>0</v>
      </c>
      <c r="G364" t="n" s="19">
        <v>0</v>
      </c>
      <c r="H364" t="n" s="21">
        <v>0</v>
      </c>
      <c r="I364" t="n" s="18">
        <v>0</v>
      </c>
      <c r="J364" t="n" s="18">
        <v>0</v>
      </c>
      <c r="K364" t="n" s="20">
        <v>0</v>
      </c>
      <c r="L364" t="n" s="21">
        <v>0</v>
      </c>
      <c r="M364" t="n" s="19">
        <v>0</v>
      </c>
    </row>
    <row r="365" hidden="0" ht="15" customHeight="1" spans="1:1">
      <c r="A365" t="str" s="17">
        <f>HYPERLINK("https://amazon.com/dp/B093Z4Y23J", "B093Z4Y23J")</f>
      </c>
      <c r="B365" t="s">
        <v>379</v>
      </c>
      <c r="C365" t="s">
        <v>15</v>
      </c>
      <c r="D365" t="n" s="18">
        <v>0</v>
      </c>
      <c r="E365" t="n" s="19">
        <v>0</v>
      </c>
      <c r="F365" t="n" s="20">
        <v>0</v>
      </c>
      <c r="G365" t="n" s="19">
        <v>0</v>
      </c>
      <c r="H365" t="n" s="21">
        <v>0</v>
      </c>
      <c r="I365" t="n" s="18">
        <v>0</v>
      </c>
      <c r="J365" t="n" s="18">
        <v>0</v>
      </c>
      <c r="K365" t="n" s="20">
        <v>0</v>
      </c>
      <c r="L365" t="n" s="21">
        <v>0</v>
      </c>
      <c r="M365" t="n" s="19">
        <v>0</v>
      </c>
    </row>
    <row r="366" hidden="0" ht="15" customHeight="1" spans="1:1">
      <c r="A366" t="str" s="17">
        <f>HYPERLINK("https://amazon.com/dp/B013DIY3MQ", "B013DIY3MQ")</f>
      </c>
      <c r="B366" t="s">
        <v>380</v>
      </c>
      <c r="C366" t="s">
        <v>15</v>
      </c>
      <c r="D366" t="n" s="18">
        <v>0</v>
      </c>
      <c r="E366" t="n" s="19">
        <v>0</v>
      </c>
      <c r="F366" t="n" s="20">
        <v>0</v>
      </c>
      <c r="G366" t="n" s="19">
        <v>4</v>
      </c>
      <c r="H366" t="n" s="21">
        <v>0</v>
      </c>
      <c r="I366" t="n" s="18">
        <v>0</v>
      </c>
      <c r="J366" t="n" s="18">
        <v>0</v>
      </c>
      <c r="K366" t="n" s="20">
        <v>0</v>
      </c>
      <c r="L366" t="n" s="21">
        <v>0</v>
      </c>
      <c r="M366" t="n" s="19">
        <v>0</v>
      </c>
    </row>
    <row r="367" hidden="0" ht="15" customHeight="1" spans="1:1">
      <c r="A367" t="str" s="17">
        <f>HYPERLINK("https://amazon.com/dp/B00352UUJ6", "B00352UUJ6")</f>
      </c>
      <c r="B367" t="s">
        <v>381</v>
      </c>
      <c r="C367" t="s">
        <v>15</v>
      </c>
      <c r="D367" t="n" s="18">
        <v>0</v>
      </c>
      <c r="E367" t="n" s="19">
        <v>0</v>
      </c>
      <c r="F367" t="n" s="20">
        <v>0</v>
      </c>
      <c r="G367" t="n" s="19">
        <v>0</v>
      </c>
      <c r="H367" t="n" s="21">
        <v>0</v>
      </c>
      <c r="I367" t="n" s="18">
        <v>0</v>
      </c>
      <c r="J367" t="n" s="18">
        <v>0</v>
      </c>
      <c r="K367" t="n" s="20">
        <v>0</v>
      </c>
      <c r="L367" t="n" s="21">
        <v>0</v>
      </c>
      <c r="M367" t="n" s="19">
        <v>0</v>
      </c>
    </row>
    <row r="368" hidden="0" ht="15" customHeight="1" spans="1:1">
      <c r="A368" t="str" s="17">
        <f>HYPERLINK("https://amazon.com/dp/B0DQY9JWJ3", "B0DQY9JWJ3")</f>
      </c>
      <c r="B368" t="s">
        <v>382</v>
      </c>
      <c r="C368" t="s">
        <v>22</v>
      </c>
      <c r="D368" t="n" s="18">
        <v>0</v>
      </c>
      <c r="E368" t="n" s="19">
        <v>0</v>
      </c>
      <c r="F368" t="n" s="20">
        <v>0</v>
      </c>
      <c r="G368" t="n" s="19">
        <v>0</v>
      </c>
      <c r="H368" t="n" s="21">
        <v>0</v>
      </c>
      <c r="I368" t="n" s="18">
        <v>0</v>
      </c>
      <c r="J368" t="n" s="18">
        <v>0</v>
      </c>
      <c r="K368" t="n" s="20">
        <v>0</v>
      </c>
      <c r="L368" t="n" s="21">
        <v>0</v>
      </c>
      <c r="M368" t="n" s="19">
        <v>0</v>
      </c>
    </row>
    <row r="369" hidden="0" ht="15" customHeight="1" spans="1:1">
      <c r="A369" t="str" s="17">
        <f>HYPERLINK("https://amazon.com/dp/B0F79RN99W", "B0F79RN99W")</f>
      </c>
      <c r="B369" t="s">
        <v>383</v>
      </c>
      <c r="C369" t="s">
        <v>15</v>
      </c>
      <c r="D369" t="n" s="18">
        <v>0</v>
      </c>
      <c r="E369" t="n" s="19">
        <v>0</v>
      </c>
      <c r="F369" t="n" s="20">
        <v>0</v>
      </c>
      <c r="G369" t="n" s="19">
        <v>0</v>
      </c>
      <c r="H369" t="n" s="21">
        <v>0</v>
      </c>
      <c r="I369" t="n" s="18">
        <v>0</v>
      </c>
      <c r="J369" t="n" s="18">
        <v>0</v>
      </c>
      <c r="K369" t="n" s="20">
        <v>0</v>
      </c>
      <c r="L369" t="n" s="21">
        <v>0</v>
      </c>
      <c r="M369" t="n" s="19">
        <v>0</v>
      </c>
    </row>
    <row r="370" hidden="0" ht="15" customHeight="1" spans="1:1">
      <c r="A370" t="str" s="17">
        <f>HYPERLINK("https://amazon.com/dp/B07GVRGYSC", "B07GVRGYSC")</f>
      </c>
      <c r="B370" t="s">
        <v>384</v>
      </c>
      <c r="C370" t="s">
        <v>15</v>
      </c>
      <c r="D370" t="n" s="18">
        <v>0</v>
      </c>
      <c r="E370" t="n" s="19">
        <v>0</v>
      </c>
      <c r="F370" t="n" s="20">
        <v>0</v>
      </c>
      <c r="G370" t="n" s="19">
        <v>0</v>
      </c>
      <c r="H370" t="n" s="21">
        <v>0</v>
      </c>
      <c r="I370" t="n" s="18">
        <v>0</v>
      </c>
      <c r="J370" t="n" s="18">
        <v>0</v>
      </c>
      <c r="K370" t="n" s="20">
        <v>0</v>
      </c>
      <c r="L370" t="n" s="21">
        <v>0</v>
      </c>
      <c r="M370" t="n" s="19">
        <v>0</v>
      </c>
    </row>
    <row r="371" hidden="0" ht="15" customHeight="1" spans="1:1">
      <c r="A371" t="str" s="17">
        <f>HYPERLINK("https://amazon.com/dp/B0C6DKW6KX", "B0C6DKW6KX")</f>
      </c>
      <c r="B371" t="s">
        <v>385</v>
      </c>
      <c r="C371" t="s">
        <v>22</v>
      </c>
      <c r="D371" t="n" s="18">
        <v>0</v>
      </c>
      <c r="E371" t="n" s="19">
        <v>0</v>
      </c>
      <c r="F371" t="n" s="20">
        <v>0</v>
      </c>
      <c r="G371" t="n" s="19">
        <v>0</v>
      </c>
      <c r="H371" t="n" s="21">
        <v>0</v>
      </c>
      <c r="I371" t="n" s="18">
        <v>0</v>
      </c>
      <c r="J371" t="n" s="18">
        <v>0</v>
      </c>
      <c r="K371" t="n" s="20">
        <v>0</v>
      </c>
      <c r="L371" t="n" s="21">
        <v>0</v>
      </c>
      <c r="M371" t="n" s="19">
        <v>0</v>
      </c>
    </row>
    <row r="372" hidden="0" ht="15" customHeight="1" spans="1:1">
      <c r="A372" t="str" s="17">
        <f>HYPERLINK("https://amazon.com/dp/B07G392VCD", "B07G392VCD")</f>
      </c>
      <c r="B372" t="s">
        <v>386</v>
      </c>
      <c r="C372" t="s">
        <v>15</v>
      </c>
      <c r="D372" t="n" s="18">
        <v>0</v>
      </c>
      <c r="E372" t="n" s="19">
        <v>0</v>
      </c>
      <c r="F372" t="n" s="20">
        <v>0</v>
      </c>
      <c r="G372" t="n" s="19">
        <v>0</v>
      </c>
      <c r="H372" t="n" s="21">
        <v>0</v>
      </c>
      <c r="I372" t="n" s="18">
        <v>0</v>
      </c>
      <c r="J372" t="n" s="18">
        <v>0</v>
      </c>
      <c r="K372" t="n" s="20">
        <v>0</v>
      </c>
      <c r="L372" t="n" s="21">
        <v>0</v>
      </c>
      <c r="M372" t="n" s="19">
        <v>0</v>
      </c>
    </row>
    <row r="373" hidden="0" ht="15" customHeight="1" spans="1:1">
      <c r="A373" t="str" s="17">
        <f>HYPERLINK("https://amazon.com/dp/B0BG64ZG8Q", "B0BG64ZG8Q")</f>
      </c>
      <c r="B373" t="s">
        <v>387</v>
      </c>
      <c r="C373" t="s">
        <v>22</v>
      </c>
      <c r="D373" t="n" s="18">
        <v>0</v>
      </c>
      <c r="E373" t="n" s="19">
        <v>0</v>
      </c>
      <c r="F373" t="n" s="20">
        <v>0</v>
      </c>
      <c r="G373" t="n" s="19">
        <v>0</v>
      </c>
      <c r="H373" t="n" s="21">
        <v>0</v>
      </c>
      <c r="I373" t="n" s="18">
        <v>0</v>
      </c>
      <c r="J373" t="n" s="18">
        <v>0</v>
      </c>
      <c r="K373" t="n" s="20">
        <v>0</v>
      </c>
      <c r="L373" t="n" s="21">
        <v>0</v>
      </c>
      <c r="M373" t="n" s="19">
        <v>0</v>
      </c>
    </row>
    <row r="374" hidden="0" ht="15" customHeight="1" spans="1:1">
      <c r="A374" t="str" s="17">
        <f>HYPERLINK("https://amazon.com/dp/B0014I4WCE", "B0014I4WCE")</f>
      </c>
      <c r="B374" t="s">
        <v>388</v>
      </c>
      <c r="C374" t="s">
        <v>15</v>
      </c>
      <c r="D374" t="n" s="18">
        <v>0</v>
      </c>
      <c r="E374" t="n" s="19">
        <v>0</v>
      </c>
      <c r="F374" t="n" s="20">
        <v>0</v>
      </c>
      <c r="G374" t="n" s="19">
        <v>0</v>
      </c>
      <c r="H374" t="n" s="21">
        <v>0</v>
      </c>
      <c r="I374" t="n" s="18">
        <v>0</v>
      </c>
      <c r="J374" t="n" s="18">
        <v>0</v>
      </c>
      <c r="K374" t="n" s="20">
        <v>0</v>
      </c>
      <c r="L374" t="n" s="21">
        <v>0</v>
      </c>
      <c r="M374" t="n" s="19">
        <v>0</v>
      </c>
    </row>
    <row r="375" hidden="0" ht="15" customHeight="1" spans="1:1">
      <c r="A375" t="str" s="17">
        <f>HYPERLINK("https://amazon.com/dp/B00BOOSX14", "B00BOOSX14")</f>
      </c>
      <c r="B375" t="s">
        <v>389</v>
      </c>
      <c r="C375" t="s">
        <v>15</v>
      </c>
      <c r="D375" t="n" s="18">
        <v>0</v>
      </c>
      <c r="E375" t="n" s="19">
        <v>0</v>
      </c>
      <c r="F375" t="n" s="20">
        <v>0</v>
      </c>
      <c r="G375" t="n" s="19">
        <v>0</v>
      </c>
      <c r="H375" t="n" s="21">
        <v>0</v>
      </c>
      <c r="I375" t="n" s="18">
        <v>0</v>
      </c>
      <c r="J375" t="n" s="18">
        <v>0</v>
      </c>
      <c r="K375" t="n" s="20">
        <v>0</v>
      </c>
      <c r="L375" t="n" s="21">
        <v>0</v>
      </c>
      <c r="M375" t="n" s="19">
        <v>0</v>
      </c>
    </row>
    <row r="376" hidden="0" ht="15" customHeight="1" spans="1:1">
      <c r="A376" t="str" s="17">
        <f>HYPERLINK("https://amazon.com/dp/B08QVD77Q9", "B08QVD77Q9")</f>
      </c>
      <c r="B376" t="s">
        <v>390</v>
      </c>
      <c r="C376" t="s">
        <v>15</v>
      </c>
      <c r="D376" t="n" s="18">
        <v>0</v>
      </c>
      <c r="E376" t="n" s="19">
        <v>0</v>
      </c>
      <c r="F376" t="n" s="20">
        <v>0</v>
      </c>
      <c r="G376" t="n" s="19">
        <v>0</v>
      </c>
      <c r="H376" t="n" s="21">
        <v>0</v>
      </c>
      <c r="I376" t="n" s="18">
        <v>0</v>
      </c>
      <c r="J376" t="n" s="18">
        <v>0</v>
      </c>
      <c r="K376" t="n" s="20">
        <v>0</v>
      </c>
      <c r="L376" t="n" s="21">
        <v>0</v>
      </c>
      <c r="M376" t="n" s="19">
        <v>0</v>
      </c>
    </row>
    <row r="377" hidden="0" ht="15" customHeight="1" spans="1:1">
      <c r="A377" t="str" s="17">
        <f>HYPERLINK("https://amazon.com/dp/B0DQTM4313", "B0DQTM4313")</f>
      </c>
      <c r="B377" t="s">
        <v>391</v>
      </c>
      <c r="C377" t="s">
        <v>15</v>
      </c>
      <c r="D377" t="n" s="18">
        <v>0</v>
      </c>
      <c r="E377" t="n" s="19">
        <v>0</v>
      </c>
      <c r="F377" t="n" s="20">
        <v>0</v>
      </c>
      <c r="G377" t="n" s="19">
        <v>0</v>
      </c>
      <c r="H377" t="n" s="21">
        <v>0</v>
      </c>
      <c r="I377" t="n" s="18">
        <v>0</v>
      </c>
      <c r="J377" t="n" s="18">
        <v>0</v>
      </c>
      <c r="K377" t="n" s="20">
        <v>0</v>
      </c>
      <c r="L377" t="n" s="21">
        <v>0</v>
      </c>
      <c r="M377" t="n" s="19">
        <v>0</v>
      </c>
    </row>
    <row r="378" hidden="0" ht="15" customHeight="1" spans="1:1">
      <c r="A378" t="str" s="17">
        <f>HYPERLINK("https://amazon.com/dp/B001800S6M", "B001800S6M")</f>
      </c>
      <c r="B378" t="s">
        <v>392</v>
      </c>
      <c r="C378" t="s">
        <v>15</v>
      </c>
      <c r="D378" t="n" s="18">
        <v>0</v>
      </c>
      <c r="E378" t="n" s="19">
        <v>0</v>
      </c>
      <c r="F378" t="n" s="20">
        <v>0</v>
      </c>
      <c r="G378" t="n" s="19">
        <v>47</v>
      </c>
      <c r="H378" t="n" s="21">
        <v>0</v>
      </c>
      <c r="I378" t="n" s="18">
        <v>0</v>
      </c>
      <c r="J378" t="n" s="18">
        <v>0</v>
      </c>
      <c r="K378" t="n" s="20">
        <v>0</v>
      </c>
      <c r="L378" t="n" s="21">
        <v>0</v>
      </c>
      <c r="M378" t="n" s="19">
        <v>0</v>
      </c>
    </row>
    <row r="379" hidden="0" ht="15" customHeight="1" spans="1:1">
      <c r="A379" t="str" s="17">
        <f>HYPERLINK("https://amazon.com/dp/B06Y1WS825", "B06Y1WS825")</f>
      </c>
      <c r="B379" t="s">
        <v>393</v>
      </c>
      <c r="C379" t="s">
        <v>15</v>
      </c>
      <c r="D379" t="n" s="18">
        <v>0</v>
      </c>
      <c r="E379" t="n" s="19">
        <v>0</v>
      </c>
      <c r="F379" t="n" s="20">
        <v>0</v>
      </c>
      <c r="G379" t="n" s="19">
        <v>0</v>
      </c>
      <c r="H379" t="n" s="21">
        <v>0</v>
      </c>
      <c r="I379" t="n" s="18">
        <v>0</v>
      </c>
      <c r="J379" t="n" s="18">
        <v>0</v>
      </c>
      <c r="K379" t="n" s="20">
        <v>0</v>
      </c>
      <c r="L379" t="n" s="21">
        <v>0</v>
      </c>
      <c r="M379" t="n" s="19">
        <v>0</v>
      </c>
    </row>
    <row r="380" hidden="0" ht="15" customHeight="1" spans="1:1">
      <c r="A380" t="str" s="17">
        <f>HYPERLINK("https://amazon.com/dp/B08FX98B59", "B08FX98B59")</f>
      </c>
      <c r="B380" t="s">
        <v>394</v>
      </c>
      <c r="C380" t="s">
        <v>15</v>
      </c>
      <c r="D380" t="n" s="18">
        <v>0</v>
      </c>
      <c r="E380" t="n" s="19">
        <v>0</v>
      </c>
      <c r="F380" t="n" s="20">
        <v>0</v>
      </c>
      <c r="G380" t="n" s="19">
        <v>0</v>
      </c>
      <c r="H380" t="n" s="21">
        <v>0</v>
      </c>
      <c r="I380" t="n" s="18">
        <v>0</v>
      </c>
      <c r="J380" t="n" s="18">
        <v>0</v>
      </c>
      <c r="K380" t="n" s="20">
        <v>0</v>
      </c>
      <c r="L380" t="n" s="21">
        <v>0</v>
      </c>
      <c r="M380" t="n" s="19">
        <v>0</v>
      </c>
    </row>
    <row r="381" hidden="0" ht="15" customHeight="1" spans="1:1">
      <c r="A381" t="str" s="17">
        <f>HYPERLINK("https://amazon.com/dp/B0BGL337WD", "B0BGL337WD")</f>
      </c>
      <c r="B381" t="s">
        <v>395</v>
      </c>
      <c r="C381" t="s">
        <v>15</v>
      </c>
      <c r="D381" t="n" s="18">
        <v>0</v>
      </c>
      <c r="E381" t="n" s="19">
        <v>0</v>
      </c>
      <c r="F381" t="n" s="20">
        <v>0</v>
      </c>
      <c r="G381" t="n" s="19">
        <v>0</v>
      </c>
      <c r="H381" t="n" s="21">
        <v>0</v>
      </c>
      <c r="I381" t="n" s="18">
        <v>0</v>
      </c>
      <c r="J381" t="n" s="18">
        <v>0</v>
      </c>
      <c r="K381" t="n" s="20">
        <v>0</v>
      </c>
      <c r="L381" t="n" s="21">
        <v>0</v>
      </c>
      <c r="M381" t="n" s="19">
        <v>0</v>
      </c>
    </row>
    <row r="382" hidden="0" ht="15" customHeight="1" spans="1:1">
      <c r="A382" t="str" s="17">
        <f>HYPERLINK("https://amazon.com/dp/B001BSK3NO", "B001BSK3NO")</f>
      </c>
      <c r="B382" t="s">
        <v>396</v>
      </c>
      <c r="C382" t="s">
        <v>15</v>
      </c>
      <c r="D382" t="n" s="18">
        <v>0</v>
      </c>
      <c r="E382" t="n" s="19">
        <v>0</v>
      </c>
      <c r="F382" t="n" s="20">
        <v>0</v>
      </c>
      <c r="G382" t="n" s="19">
        <v>0</v>
      </c>
      <c r="H382" t="n" s="21">
        <v>0</v>
      </c>
      <c r="I382" t="n" s="18">
        <v>0</v>
      </c>
      <c r="J382" t="n" s="18">
        <v>0</v>
      </c>
      <c r="K382" t="n" s="20">
        <v>0</v>
      </c>
      <c r="L382" t="n" s="21">
        <v>0</v>
      </c>
      <c r="M382" t="n" s="19">
        <v>0</v>
      </c>
    </row>
    <row r="383" hidden="0" ht="15" customHeight="1" spans="1:1">
      <c r="A383" t="str" s="17">
        <f>HYPERLINK("https://amazon.com/dp/B00BP0SSAS", "B00BP0SSAS")</f>
      </c>
      <c r="B383" t="s">
        <v>397</v>
      </c>
      <c r="C383" t="s">
        <v>15</v>
      </c>
      <c r="D383" t="n" s="18">
        <v>0</v>
      </c>
      <c r="E383" t="n" s="19">
        <v>0</v>
      </c>
      <c r="F383" t="n" s="20">
        <v>0</v>
      </c>
      <c r="G383" t="n" s="19">
        <v>0</v>
      </c>
      <c r="H383" t="n" s="21">
        <v>0</v>
      </c>
      <c r="I383" t="n" s="18">
        <v>0</v>
      </c>
      <c r="J383" t="n" s="18">
        <v>0</v>
      </c>
      <c r="K383" t="n" s="20">
        <v>0</v>
      </c>
      <c r="L383" t="n" s="21">
        <v>0</v>
      </c>
      <c r="M383" t="n" s="19">
        <v>0</v>
      </c>
    </row>
    <row r="384" hidden="0" ht="15" customHeight="1" spans="1:1">
      <c r="A384" t="str" s="17">
        <f>HYPERLINK("https://amazon.com/dp/B08R3ZDTHD", "B08R3ZDTHD")</f>
      </c>
      <c r="B384" t="s">
        <v>398</v>
      </c>
      <c r="C384" t="s">
        <v>15</v>
      </c>
      <c r="D384" t="n" s="18">
        <v>0</v>
      </c>
      <c r="E384" t="n" s="19">
        <v>0</v>
      </c>
      <c r="F384" t="n" s="20">
        <v>0</v>
      </c>
      <c r="G384" t="n" s="19">
        <v>0</v>
      </c>
      <c r="H384" t="n" s="21">
        <v>0</v>
      </c>
      <c r="I384" t="n" s="18">
        <v>0</v>
      </c>
      <c r="J384" t="n" s="18">
        <v>0</v>
      </c>
      <c r="K384" t="n" s="20">
        <v>0</v>
      </c>
      <c r="L384" t="n" s="21">
        <v>0</v>
      </c>
      <c r="M384" t="n" s="19">
        <v>0</v>
      </c>
    </row>
    <row r="385" hidden="0" ht="15" customHeight="1" spans="1:1">
      <c r="A385" t="str" s="17">
        <f>HYPERLINK("https://amazon.com/dp/B0FWCZD763", "B0FWCZD763")</f>
      </c>
      <c r="B385" t="s">
        <v>399</v>
      </c>
      <c r="C385" t="s">
        <v>15</v>
      </c>
      <c r="D385" t="n" s="18">
        <v>0</v>
      </c>
      <c r="E385" t="n" s="19">
        <v>0</v>
      </c>
      <c r="F385" t="n" s="20">
        <v>0</v>
      </c>
      <c r="G385" t="n" s="19">
        <v>0</v>
      </c>
      <c r="H385" t="n" s="21">
        <v>0</v>
      </c>
      <c r="I385" t="n" s="18">
        <v>0</v>
      </c>
      <c r="J385" t="n" s="18">
        <v>0</v>
      </c>
      <c r="K385" t="n" s="20">
        <v>0</v>
      </c>
      <c r="L385" t="n" s="21">
        <v>0</v>
      </c>
      <c r="M385" t="n" s="19">
        <v>0</v>
      </c>
    </row>
    <row r="386" hidden="0" ht="15" customHeight="1" spans="1:1">
      <c r="A386" t="str" s="17">
        <f>HYPERLINK("https://amazon.com/dp/B0F6NS9824", "B0F6NS9824")</f>
      </c>
      <c r="B386" t="s">
        <v>400</v>
      </c>
      <c r="C386" t="s">
        <v>15</v>
      </c>
      <c r="D386" t="n" s="18">
        <v>0</v>
      </c>
      <c r="E386" t="n" s="19">
        <v>0</v>
      </c>
      <c r="F386" t="n" s="20">
        <v>0</v>
      </c>
      <c r="G386" t="n" s="19">
        <v>0</v>
      </c>
      <c r="H386" t="n" s="21">
        <v>0</v>
      </c>
      <c r="I386" t="n" s="18">
        <v>0</v>
      </c>
      <c r="J386" t="n" s="18">
        <v>0</v>
      </c>
      <c r="K386" t="n" s="20">
        <v>0</v>
      </c>
      <c r="L386" t="n" s="21">
        <v>0</v>
      </c>
      <c r="M386" t="n" s="19">
        <v>0</v>
      </c>
    </row>
    <row r="387" hidden="0" ht="15" customHeight="1" spans="1:1">
      <c r="A387" t="str" s="17">
        <f>HYPERLINK("https://amazon.com/dp/B00DUCXEA8", "B00DUCXEA8")</f>
      </c>
      <c r="B387" t="s">
        <v>401</v>
      </c>
      <c r="C387" t="s">
        <v>15</v>
      </c>
      <c r="D387" t="n" s="18">
        <v>0</v>
      </c>
      <c r="E387" t="n" s="19">
        <v>0</v>
      </c>
      <c r="F387" t="n" s="20">
        <v>0</v>
      </c>
      <c r="G387" t="n" s="19">
        <v>0</v>
      </c>
      <c r="H387" t="n" s="21">
        <v>0</v>
      </c>
      <c r="I387" t="n" s="18">
        <v>0</v>
      </c>
      <c r="J387" t="n" s="18">
        <v>0</v>
      </c>
      <c r="K387" t="n" s="20">
        <v>0</v>
      </c>
      <c r="L387" t="n" s="21">
        <v>0</v>
      </c>
      <c r="M387" t="n" s="19">
        <v>0</v>
      </c>
    </row>
    <row r="388" hidden="0" ht="15" customHeight="1" spans="1:1">
      <c r="A388" t="str" s="17">
        <f>HYPERLINK("https://amazon.com/dp/B003CFATT2", "B003CFATT2")</f>
      </c>
      <c r="B388" t="s">
        <v>402</v>
      </c>
      <c r="C388" t="s">
        <v>15</v>
      </c>
      <c r="D388" t="n" s="18">
        <v>0</v>
      </c>
      <c r="E388" t="n" s="19">
        <v>0</v>
      </c>
      <c r="F388" t="n" s="20">
        <v>0</v>
      </c>
      <c r="G388" t="n" s="19">
        <v>0</v>
      </c>
      <c r="H388" t="n" s="21">
        <v>0</v>
      </c>
      <c r="I388" t="n" s="18">
        <v>0</v>
      </c>
      <c r="J388" t="n" s="18">
        <v>0</v>
      </c>
      <c r="K388" t="n" s="20">
        <v>0</v>
      </c>
      <c r="L388" t="n" s="21">
        <v>0</v>
      </c>
      <c r="M388" t="n" s="19">
        <v>0</v>
      </c>
    </row>
    <row r="389" hidden="0" ht="15" customHeight="1" spans="1:1">
      <c r="A389" t="str" s="17">
        <f>HYPERLINK("https://amazon.com/dp/B0FDQTRVSZ", "B0FDQTRVSZ")</f>
      </c>
      <c r="B389" t="s">
        <v>403</v>
      </c>
      <c r="C389" t="s">
        <v>22</v>
      </c>
      <c r="D389" t="n" s="18">
        <v>0</v>
      </c>
      <c r="E389" t="n" s="19">
        <v>0</v>
      </c>
      <c r="F389" t="n" s="20">
        <v>0</v>
      </c>
      <c r="G389" t="n" s="19">
        <v>0</v>
      </c>
      <c r="H389" t="n" s="21">
        <v>0</v>
      </c>
      <c r="I389" t="n" s="18">
        <v>0</v>
      </c>
      <c r="J389" t="n" s="18">
        <v>0</v>
      </c>
      <c r="K389" t="n" s="20">
        <v>0</v>
      </c>
      <c r="L389" t="n" s="21">
        <v>0</v>
      </c>
      <c r="M389" t="n" s="19">
        <v>0</v>
      </c>
    </row>
    <row r="390" hidden="0" ht="15" customHeight="1" spans="1:1">
      <c r="A390" t="str" s="17">
        <f>HYPERLINK("https://amazon.com/dp/B08GDC8X1Y", "B08GDC8X1Y")</f>
      </c>
      <c r="B390" t="s">
        <v>404</v>
      </c>
      <c r="C390" t="s">
        <v>15</v>
      </c>
      <c r="D390" t="n" s="18">
        <v>0</v>
      </c>
      <c r="E390" t="n" s="19">
        <v>0</v>
      </c>
      <c r="F390" t="n" s="20">
        <v>0</v>
      </c>
      <c r="G390" t="n" s="19">
        <v>0</v>
      </c>
      <c r="H390" t="n" s="21">
        <v>0</v>
      </c>
      <c r="I390" t="n" s="18">
        <v>0</v>
      </c>
      <c r="J390" t="n" s="18">
        <v>0</v>
      </c>
      <c r="K390" t="n" s="20">
        <v>0</v>
      </c>
      <c r="L390" t="n" s="21">
        <v>0</v>
      </c>
      <c r="M390" t="n" s="19">
        <v>0</v>
      </c>
    </row>
    <row r="391" hidden="0" ht="15" customHeight="1" spans="1:1">
      <c r="A391" t="str" s="17">
        <f>HYPERLINK("https://amazon.com/dp/B0036AFAEW", "B0036AFAEW")</f>
      </c>
      <c r="B391" t="s">
        <v>405</v>
      </c>
      <c r="C391" t="s">
        <v>15</v>
      </c>
      <c r="D391" t="n" s="18">
        <v>0</v>
      </c>
      <c r="E391" t="n" s="19">
        <v>0</v>
      </c>
      <c r="F391" t="n" s="20">
        <v>0</v>
      </c>
      <c r="G391" t="n" s="19">
        <v>61</v>
      </c>
      <c r="H391" t="n" s="21">
        <v>0</v>
      </c>
      <c r="I391" t="n" s="18">
        <v>0</v>
      </c>
      <c r="J391" t="n" s="18">
        <v>0</v>
      </c>
      <c r="K391" t="n" s="20">
        <v>0</v>
      </c>
      <c r="L391" t="n" s="21">
        <v>0</v>
      </c>
      <c r="M391" t="n" s="19">
        <v>0</v>
      </c>
    </row>
    <row r="392" hidden="0" ht="15" customHeight="1" spans="1:1">
      <c r="A392" t="str" s="17">
        <f>HYPERLINK("https://amazon.com/dp/B07GVQX7P8", "B07GVQX7P8")</f>
      </c>
      <c r="B392" t="s">
        <v>406</v>
      </c>
      <c r="C392" t="s">
        <v>15</v>
      </c>
      <c r="D392" t="n" s="18">
        <v>0</v>
      </c>
      <c r="E392" t="n" s="19">
        <v>0</v>
      </c>
      <c r="F392" t="n" s="20">
        <v>0</v>
      </c>
      <c r="G392" t="n" s="19">
        <v>0</v>
      </c>
      <c r="H392" t="n" s="21">
        <v>0</v>
      </c>
      <c r="I392" t="n" s="18">
        <v>0</v>
      </c>
      <c r="J392" t="n" s="18">
        <v>0</v>
      </c>
      <c r="K392" t="n" s="20">
        <v>0</v>
      </c>
      <c r="L392" t="n" s="21">
        <v>0</v>
      </c>
      <c r="M392" t="n" s="19">
        <v>0</v>
      </c>
    </row>
    <row r="393" hidden="0" ht="15" customHeight="1" spans="1:1">
      <c r="A393" t="str" s="17">
        <f>HYPERLINK("https://amazon.com/dp/B0BD5SHSFK", "B0BD5SHSFK")</f>
      </c>
      <c r="B393" t="s">
        <v>407</v>
      </c>
      <c r="C393" t="s">
        <v>15</v>
      </c>
      <c r="D393" t="n" s="18">
        <v>0</v>
      </c>
      <c r="E393" t="n" s="19">
        <v>0</v>
      </c>
      <c r="F393" t="n" s="20">
        <v>0</v>
      </c>
      <c r="G393" t="n" s="19">
        <v>0</v>
      </c>
      <c r="H393" t="n" s="21">
        <v>0</v>
      </c>
      <c r="I393" t="n" s="18">
        <v>0</v>
      </c>
      <c r="J393" t="n" s="18">
        <v>0</v>
      </c>
      <c r="K393" t="n" s="20">
        <v>0</v>
      </c>
      <c r="L393" t="n" s="21">
        <v>0</v>
      </c>
      <c r="M393" t="n" s="19">
        <v>0</v>
      </c>
    </row>
    <row r="394" hidden="0" ht="15" customHeight="1" spans="1:1">
      <c r="A394" t="str" s="17">
        <f>HYPERLINK("https://amazon.com/dp/B0G1S78YKY", "B0G1S78YKY")</f>
      </c>
      <c r="B394" t="s">
        <v>408</v>
      </c>
      <c r="C394" t="s">
        <v>15</v>
      </c>
      <c r="D394" t="n" s="18">
        <v>0</v>
      </c>
      <c r="E394" t="n" s="19">
        <v>0</v>
      </c>
      <c r="F394" t="n" s="20">
        <v>0</v>
      </c>
      <c r="G394" t="n" s="19">
        <v>0</v>
      </c>
      <c r="H394" t="n" s="21">
        <v>0</v>
      </c>
      <c r="I394" t="n" s="18">
        <v>0</v>
      </c>
      <c r="J394" t="n" s="18">
        <v>0</v>
      </c>
      <c r="K394" t="n" s="20">
        <v>0</v>
      </c>
      <c r="L394" t="n" s="21">
        <v>0</v>
      </c>
      <c r="M394" t="n" s="19">
        <v>0</v>
      </c>
    </row>
    <row r="395" hidden="0" ht="15" customHeight="1" spans="1:1">
      <c r="A395" t="str" s="17">
        <f>HYPERLINK("https://amazon.com/dp/B0DQV76SR6", "B0DQV76SR6")</f>
      </c>
      <c r="B395" t="s">
        <v>409</v>
      </c>
      <c r="C395" t="s">
        <v>15</v>
      </c>
      <c r="D395" t="n" s="18">
        <v>0</v>
      </c>
      <c r="E395" t="n" s="19">
        <v>0</v>
      </c>
      <c r="F395" t="n" s="20">
        <v>0</v>
      </c>
      <c r="G395" t="n" s="19">
        <v>0</v>
      </c>
      <c r="H395" t="n" s="21">
        <v>0</v>
      </c>
      <c r="I395" t="n" s="18">
        <v>0</v>
      </c>
      <c r="J395" t="n" s="18">
        <v>0</v>
      </c>
      <c r="K395" t="n" s="20">
        <v>0</v>
      </c>
      <c r="L395" t="n" s="21">
        <v>0</v>
      </c>
      <c r="M395" t="n" s="19">
        <v>0</v>
      </c>
    </row>
    <row r="396" hidden="0" ht="15" customHeight="1" spans="1:1">
      <c r="A396" t="str" s="17">
        <f>HYPERLINK("https://amazon.com/dp/B08562FQTW", "B08562FQTW")</f>
      </c>
      <c r="B396" t="s">
        <v>410</v>
      </c>
      <c r="C396" t="s">
        <v>15</v>
      </c>
      <c r="D396" t="n" s="18">
        <v>0</v>
      </c>
      <c r="E396" t="n" s="19">
        <v>0</v>
      </c>
      <c r="F396" t="n" s="20">
        <v>0</v>
      </c>
      <c r="G396" t="n" s="19">
        <v>0</v>
      </c>
      <c r="H396" t="n" s="21">
        <v>0</v>
      </c>
      <c r="I396" t="n" s="18">
        <v>0</v>
      </c>
      <c r="J396" t="n" s="18">
        <v>0</v>
      </c>
      <c r="K396" t="n" s="20">
        <v>0</v>
      </c>
      <c r="L396" t="n" s="21">
        <v>0</v>
      </c>
      <c r="M396" t="n" s="19">
        <v>0</v>
      </c>
    </row>
    <row r="397" hidden="0" ht="15" customHeight="1" spans="1:1">
      <c r="A397" t="str" s="17">
        <f>HYPERLINK("https://amazon.com/dp/B0D544WSFP", "B0D544WSFP")</f>
      </c>
      <c r="B397" t="s">
        <v>411</v>
      </c>
      <c r="C397" t="s">
        <v>22</v>
      </c>
      <c r="D397" t="n" s="18">
        <v>0</v>
      </c>
      <c r="E397" t="n" s="19">
        <v>0</v>
      </c>
      <c r="F397" t="n" s="20">
        <v>0</v>
      </c>
      <c r="G397" t="n" s="19">
        <v>0</v>
      </c>
      <c r="H397" t="n" s="21">
        <v>0</v>
      </c>
      <c r="I397" t="n" s="18">
        <v>0</v>
      </c>
      <c r="J397" t="n" s="18">
        <v>0</v>
      </c>
      <c r="K397" t="n" s="20">
        <v>0</v>
      </c>
      <c r="L397" t="n" s="21">
        <v>0</v>
      </c>
      <c r="M397" t="n" s="19">
        <v>0</v>
      </c>
    </row>
    <row r="398" hidden="0" ht="15" customHeight="1" spans="1:1">
      <c r="A398" t="str" s="17">
        <f>HYPERLINK("https://amazon.com/dp/B071LPJNQZ", "B071LPJNQZ")</f>
      </c>
      <c r="B398" t="s">
        <v>412</v>
      </c>
      <c r="C398" t="s">
        <v>45</v>
      </c>
      <c r="D398" t="n" s="18">
        <v>0</v>
      </c>
      <c r="E398" t="n" s="19">
        <v>0</v>
      </c>
      <c r="F398" t="n" s="20">
        <v>0</v>
      </c>
      <c r="G398" t="n" s="19">
        <v>0</v>
      </c>
      <c r="H398" t="n" s="21">
        <v>0</v>
      </c>
      <c r="I398" t="n" s="18">
        <v>0</v>
      </c>
      <c r="J398" t="n" s="18">
        <v>0</v>
      </c>
      <c r="K398" t="n" s="20">
        <v>0</v>
      </c>
      <c r="L398" t="n" s="21">
        <v>0</v>
      </c>
      <c r="M398" t="n" s="19">
        <v>0</v>
      </c>
    </row>
    <row r="399" hidden="0" ht="15" customHeight="1" spans="1:1">
      <c r="A399" t="str" s="17">
        <f>HYPERLINK("https://amazon.com/dp/B07PS1BX3G", "B07PS1BX3G")</f>
      </c>
      <c r="B399" t="s">
        <v>413</v>
      </c>
      <c r="C399" t="s">
        <v>15</v>
      </c>
      <c r="D399" t="n" s="18">
        <v>0</v>
      </c>
      <c r="E399" t="n" s="19">
        <v>0</v>
      </c>
      <c r="F399" t="n" s="20">
        <v>0</v>
      </c>
      <c r="G399" t="n" s="19">
        <v>0</v>
      </c>
      <c r="H399" t="n" s="21">
        <v>0</v>
      </c>
      <c r="I399" t="n" s="18">
        <v>0</v>
      </c>
      <c r="J399" t="n" s="18">
        <v>0</v>
      </c>
      <c r="K399" t="n" s="20">
        <v>0</v>
      </c>
      <c r="L399" t="n" s="21">
        <v>0</v>
      </c>
      <c r="M399" t="n" s="19">
        <v>0</v>
      </c>
    </row>
    <row r="400" hidden="0" ht="15" customHeight="1" spans="1:1">
      <c r="A400" t="str" s="17">
        <f>HYPERLINK("https://amazon.com/dp/B009NH29QY", "B009NH29QY")</f>
      </c>
      <c r="B400" t="s">
        <v>414</v>
      </c>
      <c r="C400" t="s">
        <v>15</v>
      </c>
      <c r="D400" t="n" s="18">
        <v>0</v>
      </c>
      <c r="E400" t="n" s="19">
        <v>0</v>
      </c>
      <c r="F400" t="n" s="20">
        <v>0</v>
      </c>
      <c r="G400" t="n" s="19">
        <v>0</v>
      </c>
      <c r="H400" t="n" s="21">
        <v>0</v>
      </c>
      <c r="I400" t="n" s="18">
        <v>0</v>
      </c>
      <c r="J400" t="n" s="18">
        <v>0</v>
      </c>
      <c r="K400" t="n" s="20">
        <v>0</v>
      </c>
      <c r="L400" t="n" s="21">
        <v>0</v>
      </c>
      <c r="M400" t="n" s="19">
        <v>0</v>
      </c>
    </row>
    <row r="401" hidden="0" ht="15" customHeight="1" spans="1:1">
      <c r="A401" t="str" s="17">
        <f>HYPERLINK("https://amazon.com/dp/B0GS93F83Q", "B0GS93F83Q")</f>
      </c>
      <c r="B401" t="s">
        <v>415</v>
      </c>
      <c r="C401" t="s">
        <v>15</v>
      </c>
      <c r="D401" t="n" s="18">
        <v>0</v>
      </c>
      <c r="E401" t="n" s="19">
        <v>0</v>
      </c>
      <c r="F401" t="n" s="20">
        <v>0</v>
      </c>
      <c r="G401" t="n" s="19">
        <v>0</v>
      </c>
      <c r="H401" t="n" s="21">
        <v>0</v>
      </c>
      <c r="I401" t="n" s="18">
        <v>0</v>
      </c>
      <c r="J401" t="n" s="18">
        <v>0</v>
      </c>
      <c r="K401" t="n" s="20">
        <v>0</v>
      </c>
      <c r="L401" t="n" s="21">
        <v>0</v>
      </c>
      <c r="M401" t="n" s="19">
        <v>0</v>
      </c>
    </row>
    <row r="402" hidden="0" ht="15" customHeight="1" spans="1:1">
      <c r="A402" t="str" s="17">
        <f>HYPERLINK("https://amazon.com/dp/B08KGWTBGQ", "B08KGWTBGQ")</f>
      </c>
      <c r="B402" t="s">
        <v>416</v>
      </c>
      <c r="C402" t="s">
        <v>15</v>
      </c>
      <c r="D402" t="n" s="18">
        <v>0</v>
      </c>
      <c r="E402" t="n" s="19">
        <v>0</v>
      </c>
      <c r="F402" t="n" s="20">
        <v>0</v>
      </c>
      <c r="G402" t="n" s="19">
        <v>0</v>
      </c>
      <c r="H402" t="n" s="21">
        <v>0</v>
      </c>
      <c r="I402" t="n" s="18">
        <v>0</v>
      </c>
      <c r="J402" t="n" s="18">
        <v>0</v>
      </c>
      <c r="K402" t="n" s="20">
        <v>0</v>
      </c>
      <c r="L402" t="n" s="21">
        <v>0</v>
      </c>
      <c r="M402" t="n" s="19">
        <v>0</v>
      </c>
    </row>
    <row r="403" hidden="0" ht="15" customHeight="1" spans="1:1">
      <c r="A403" t="str" s="17">
        <f>HYPERLINK("https://amazon.com/dp/B09BMLJ9YD", "B09BMLJ9YD")</f>
      </c>
      <c r="B403" t="s">
        <v>417</v>
      </c>
      <c r="C403" t="s">
        <v>15</v>
      </c>
      <c r="D403" t="n" s="18">
        <v>0</v>
      </c>
      <c r="E403" t="n" s="19">
        <v>0</v>
      </c>
      <c r="F403" t="n" s="20">
        <v>0</v>
      </c>
      <c r="G403" t="n" s="19">
        <v>0</v>
      </c>
      <c r="H403" t="n" s="21">
        <v>0</v>
      </c>
      <c r="I403" t="n" s="18">
        <v>0</v>
      </c>
      <c r="J403" t="n" s="18">
        <v>0</v>
      </c>
      <c r="K403" t="n" s="20">
        <v>0</v>
      </c>
      <c r="L403" t="n" s="21">
        <v>0</v>
      </c>
      <c r="M403" t="n" s="19">
        <v>0</v>
      </c>
    </row>
    <row r="404" hidden="0" ht="15" customHeight="1" spans="1:1">
      <c r="A404" t="str" s="17">
        <f>HYPERLINK("https://amazon.com/dp/B0DD16F7T4", "B0DD16F7T4")</f>
      </c>
      <c r="B404" t="s">
        <v>418</v>
      </c>
      <c r="C404" t="s">
        <v>15</v>
      </c>
      <c r="D404" t="n" s="18">
        <v>0</v>
      </c>
      <c r="E404" t="n" s="19">
        <v>0</v>
      </c>
      <c r="F404" t="n" s="20">
        <v>0</v>
      </c>
      <c r="G404" t="n" s="19">
        <v>0</v>
      </c>
      <c r="H404" t="n" s="21">
        <v>0</v>
      </c>
      <c r="I404" t="n" s="18">
        <v>0</v>
      </c>
      <c r="J404" t="n" s="18">
        <v>0</v>
      </c>
      <c r="K404" t="n" s="20">
        <v>0</v>
      </c>
      <c r="L404" t="n" s="21">
        <v>0</v>
      </c>
      <c r="M404" t="n" s="19">
        <v>0</v>
      </c>
    </row>
    <row r="405" hidden="0" ht="15" customHeight="1" spans="1:1">
      <c r="A405" t="str" s="17">
        <f>HYPERLINK("https://amazon.com/dp/B0CTGPLNB4", "B0CTGPLNB4")</f>
      </c>
      <c r="B405" t="s">
        <v>419</v>
      </c>
      <c r="C405" t="s">
        <v>45</v>
      </c>
      <c r="D405" t="n" s="18">
        <v>0</v>
      </c>
      <c r="E405" t="n" s="19">
        <v>0</v>
      </c>
      <c r="F405" t="n" s="20">
        <v>0</v>
      </c>
      <c r="G405" t="n" s="19">
        <v>0</v>
      </c>
      <c r="H405" t="n" s="21">
        <v>0</v>
      </c>
      <c r="I405" t="n" s="18">
        <v>0</v>
      </c>
      <c r="J405" t="n" s="18">
        <v>0</v>
      </c>
      <c r="K405" t="n" s="20">
        <v>0</v>
      </c>
      <c r="L405" t="n" s="21">
        <v>0</v>
      </c>
      <c r="M405" t="n" s="19">
        <v>0</v>
      </c>
    </row>
    <row r="406" hidden="0" ht="15" customHeight="1" spans="1:1">
      <c r="A406" t="str" s="17">
        <f>HYPERLINK("https://amazon.com/dp/B0DCW6K8FS", "B0DCW6K8FS")</f>
      </c>
      <c r="B406" t="s">
        <v>420</v>
      </c>
      <c r="C406" t="s">
        <v>15</v>
      </c>
      <c r="D406" t="n" s="18">
        <v>0</v>
      </c>
      <c r="E406" t="n" s="19">
        <v>0</v>
      </c>
      <c r="F406" t="n" s="20">
        <v>0</v>
      </c>
      <c r="G406" t="n" s="19">
        <v>0</v>
      </c>
      <c r="H406" t="n" s="21">
        <v>0</v>
      </c>
      <c r="I406" t="n" s="18">
        <v>0</v>
      </c>
      <c r="J406" t="n" s="18">
        <v>0</v>
      </c>
      <c r="K406" t="n" s="20">
        <v>0</v>
      </c>
      <c r="L406" t="n" s="21">
        <v>0</v>
      </c>
      <c r="M406" t="n" s="19">
        <v>0</v>
      </c>
    </row>
    <row r="407" hidden="0" ht="15" customHeight="1" spans="1:1">
      <c r="A407" t="str" s="17">
        <f>HYPERLINK("https://amazon.com/dp/B0BK2CTRV4", "B0BK2CTRV4")</f>
      </c>
      <c r="B407" t="s">
        <v>421</v>
      </c>
      <c r="C407" t="s">
        <v>15</v>
      </c>
      <c r="D407" t="n" s="18">
        <v>0</v>
      </c>
      <c r="E407" t="n" s="19">
        <v>0</v>
      </c>
      <c r="F407" t="n" s="20">
        <v>0</v>
      </c>
      <c r="G407" t="n" s="19">
        <v>0</v>
      </c>
      <c r="H407" t="n" s="21">
        <v>0</v>
      </c>
      <c r="I407" t="n" s="18">
        <v>0</v>
      </c>
      <c r="J407" t="n" s="18">
        <v>0</v>
      </c>
      <c r="K407" t="n" s="20">
        <v>0</v>
      </c>
      <c r="L407" t="n" s="21">
        <v>0</v>
      </c>
      <c r="M407" t="n" s="19">
        <v>0</v>
      </c>
    </row>
    <row r="408" hidden="0" ht="15" customHeight="1" spans="1:1">
      <c r="A408" t="str" s="17">
        <f>HYPERLINK("https://amazon.com/dp/B0G1S3J4WN", "B0G1S3J4WN")</f>
      </c>
      <c r="B408" t="s">
        <v>422</v>
      </c>
      <c r="C408" t="s">
        <v>15</v>
      </c>
      <c r="D408" t="n" s="18">
        <v>0</v>
      </c>
      <c r="E408" t="n" s="19">
        <v>0</v>
      </c>
      <c r="F408" t="n" s="20">
        <v>0</v>
      </c>
      <c r="G408" t="n" s="19">
        <v>0</v>
      </c>
      <c r="H408" t="n" s="21">
        <v>0</v>
      </c>
      <c r="I408" t="n" s="18">
        <v>0</v>
      </c>
      <c r="J408" t="n" s="18">
        <v>0</v>
      </c>
      <c r="K408" t="n" s="20">
        <v>0</v>
      </c>
      <c r="L408" t="n" s="21">
        <v>0</v>
      </c>
      <c r="M408" t="n" s="19">
        <v>0</v>
      </c>
    </row>
    <row r="409" hidden="0" ht="15" customHeight="1" spans="1:1">
      <c r="A409" t="str" s="17">
        <f>HYPERLINK("https://amazon.com/dp/B01MT7D9Q9", "B01MT7D9Q9")</f>
      </c>
      <c r="B409" t="s">
        <v>423</v>
      </c>
      <c r="C409" t="s">
        <v>15</v>
      </c>
      <c r="D409" t="n" s="18">
        <v>0</v>
      </c>
      <c r="E409" t="n" s="19">
        <v>0</v>
      </c>
      <c r="F409" t="n" s="20">
        <v>0</v>
      </c>
      <c r="G409" t="n" s="19">
        <v>0</v>
      </c>
      <c r="H409" t="n" s="21">
        <v>0</v>
      </c>
      <c r="I409" t="n" s="18">
        <v>0</v>
      </c>
      <c r="J409" t="n" s="18">
        <v>0</v>
      </c>
      <c r="K409" t="n" s="20">
        <v>0</v>
      </c>
      <c r="L409" t="n" s="21">
        <v>0</v>
      </c>
      <c r="M409" t="n" s="19">
        <v>0</v>
      </c>
    </row>
    <row r="410" hidden="0" ht="15" customHeight="1" spans="1:1">
      <c r="A410" t="str" s="17">
        <f>HYPERLINK("https://amazon.com/dp/B0DYV8G9NH", "B0DYV8G9NH")</f>
      </c>
      <c r="B410" t="s">
        <v>424</v>
      </c>
      <c r="C410" t="s">
        <v>15</v>
      </c>
      <c r="D410" t="n" s="18">
        <v>0</v>
      </c>
      <c r="E410" t="n" s="19">
        <v>0</v>
      </c>
      <c r="F410" t="n" s="20">
        <v>0</v>
      </c>
      <c r="G410" t="n" s="19">
        <v>0</v>
      </c>
      <c r="H410" t="n" s="21">
        <v>0</v>
      </c>
      <c r="I410" t="n" s="18">
        <v>0</v>
      </c>
      <c r="J410" t="n" s="18">
        <v>0</v>
      </c>
      <c r="K410" t="n" s="20">
        <v>0</v>
      </c>
      <c r="L410" t="n" s="21">
        <v>0</v>
      </c>
      <c r="M410" t="n" s="19">
        <v>0</v>
      </c>
    </row>
    <row r="411" hidden="0" ht="15" customHeight="1" spans="1:1">
      <c r="A411" t="str" s="17">
        <f>HYPERLINK("https://amazon.com/dp/B07GVR9TG7", "B07GVR9TG7")</f>
      </c>
      <c r="B411" t="s">
        <v>425</v>
      </c>
      <c r="C411" t="s">
        <v>15</v>
      </c>
      <c r="D411" t="n" s="18">
        <v>0</v>
      </c>
      <c r="E411" t="n" s="19">
        <v>0</v>
      </c>
      <c r="F411" t="n" s="20">
        <v>0</v>
      </c>
      <c r="G411" t="n" s="19">
        <v>0</v>
      </c>
      <c r="H411" t="n" s="21">
        <v>0</v>
      </c>
      <c r="I411" t="n" s="18">
        <v>0</v>
      </c>
      <c r="J411" t="n" s="18">
        <v>0</v>
      </c>
      <c r="K411" t="n" s="20">
        <v>0</v>
      </c>
      <c r="L411" t="n" s="21">
        <v>0</v>
      </c>
      <c r="M411" t="n" s="19">
        <v>0</v>
      </c>
    </row>
    <row r="412" hidden="0" ht="15" customHeight="1" spans="1:1">
      <c r="A412" t="str" s="17">
        <f>HYPERLINK("https://amazon.com/dp/B0C7CVCS83", "B0C7CVCS83")</f>
      </c>
      <c r="B412" t="s">
        <v>426</v>
      </c>
      <c r="C412" t="s">
        <v>15</v>
      </c>
      <c r="D412" t="n" s="18">
        <v>0</v>
      </c>
      <c r="E412" t="n" s="19">
        <v>0</v>
      </c>
      <c r="F412" t="n" s="20">
        <v>0</v>
      </c>
      <c r="G412" t="n" s="19">
        <v>0</v>
      </c>
      <c r="H412" t="n" s="21">
        <v>0</v>
      </c>
      <c r="I412" t="n" s="18">
        <v>0</v>
      </c>
      <c r="J412" t="n" s="18">
        <v>0</v>
      </c>
      <c r="K412" t="n" s="20">
        <v>0</v>
      </c>
      <c r="L412" t="n" s="21">
        <v>0</v>
      </c>
      <c r="M412" t="n" s="19">
        <v>0</v>
      </c>
    </row>
    <row r="413" hidden="0" ht="15" customHeight="1" spans="1:1">
      <c r="A413" t="str" s="17">
        <f>HYPERLINK("https://amazon.com/dp/B0859M1KX7", "B0859M1KX7")</f>
      </c>
      <c r="B413" t="s">
        <v>427</v>
      </c>
      <c r="C413" t="s">
        <v>15</v>
      </c>
      <c r="D413" t="n" s="18">
        <v>0</v>
      </c>
      <c r="E413" t="n" s="19">
        <v>0</v>
      </c>
      <c r="F413" t="n" s="20">
        <v>0</v>
      </c>
      <c r="G413" t="n" s="19">
        <v>0</v>
      </c>
      <c r="H413" t="n" s="21">
        <v>0</v>
      </c>
      <c r="I413" t="n" s="18">
        <v>0</v>
      </c>
      <c r="J413" t="n" s="18">
        <v>0</v>
      </c>
      <c r="K413" t="n" s="20">
        <v>0</v>
      </c>
      <c r="L413" t="n" s="21">
        <v>0</v>
      </c>
      <c r="M413" t="n" s="19">
        <v>0</v>
      </c>
    </row>
    <row r="414" hidden="0" ht="15" customHeight="1" spans="1:1">
      <c r="A414" t="str" s="17">
        <f>HYPERLINK("https://amazon.com/dp/B003CFATYM", "B003CFATYM")</f>
      </c>
      <c r="B414" t="s">
        <v>428</v>
      </c>
      <c r="C414" t="s">
        <v>15</v>
      </c>
      <c r="D414" t="n" s="18">
        <v>0</v>
      </c>
      <c r="E414" t="n" s="19">
        <v>0</v>
      </c>
      <c r="F414" t="n" s="20">
        <v>0</v>
      </c>
      <c r="G414" t="n" s="19">
        <v>0</v>
      </c>
      <c r="H414" t="n" s="21">
        <v>0</v>
      </c>
      <c r="I414" t="n" s="18">
        <v>0</v>
      </c>
      <c r="J414" t="n" s="18">
        <v>0</v>
      </c>
      <c r="K414" t="n" s="20">
        <v>0</v>
      </c>
      <c r="L414" t="n" s="21">
        <v>0</v>
      </c>
      <c r="M414" t="n" s="19">
        <v>0</v>
      </c>
    </row>
    <row r="415" hidden="0" ht="15" customHeight="1" spans="1:1">
      <c r="A415" t="str" s="17">
        <f>HYPERLINK("https://amazon.com/dp/B00CUG8ESM", "B00CUG8ESM")</f>
      </c>
      <c r="B415" t="s">
        <v>429</v>
      </c>
      <c r="C415" t="s">
        <v>15</v>
      </c>
      <c r="D415" t="n" s="18">
        <v>0</v>
      </c>
      <c r="E415" t="n" s="19">
        <v>0</v>
      </c>
      <c r="F415" t="n" s="20">
        <v>0</v>
      </c>
      <c r="G415" t="n" s="19">
        <v>0</v>
      </c>
      <c r="H415" t="n" s="21">
        <v>0</v>
      </c>
      <c r="I415" t="n" s="18">
        <v>0</v>
      </c>
      <c r="J415" t="n" s="18">
        <v>0</v>
      </c>
      <c r="K415" t="n" s="20">
        <v>0</v>
      </c>
      <c r="L415" t="n" s="21">
        <v>0</v>
      </c>
      <c r="M415" t="n" s="19">
        <v>0</v>
      </c>
    </row>
    <row r="416" hidden="0" ht="15" customHeight="1" spans="1:1">
      <c r="A416" t="str" s="17">
        <f>HYPERLINK("https://amazon.com/dp/B0CQLM67VD", "B0CQLM67VD")</f>
      </c>
      <c r="B416" t="s">
        <v>430</v>
      </c>
      <c r="C416" t="s">
        <v>22</v>
      </c>
      <c r="D416" t="n" s="18">
        <v>0</v>
      </c>
      <c r="E416" t="n" s="19">
        <v>0</v>
      </c>
      <c r="F416" t="n" s="20">
        <v>0</v>
      </c>
      <c r="G416" t="n" s="19">
        <v>0</v>
      </c>
      <c r="H416" t="n" s="21">
        <v>0</v>
      </c>
      <c r="I416" t="n" s="18">
        <v>0</v>
      </c>
      <c r="J416" t="n" s="18">
        <v>0</v>
      </c>
      <c r="K416" t="n" s="20">
        <v>0</v>
      </c>
      <c r="L416" t="n" s="21">
        <v>0</v>
      </c>
      <c r="M416" t="n" s="19">
        <v>0</v>
      </c>
    </row>
    <row r="417" hidden="0" ht="15" customHeight="1" spans="1:1">
      <c r="A417" t="str" s="17">
        <f>HYPERLINK("https://amazon.com/dp/B0DFPYQLZS", "B0DFPYQLZS")</f>
      </c>
      <c r="B417" t="s">
        <v>431</v>
      </c>
      <c r="C417" t="s">
        <v>15</v>
      </c>
      <c r="D417" t="n" s="18">
        <v>0</v>
      </c>
      <c r="E417" t="n" s="19">
        <v>0</v>
      </c>
      <c r="F417" t="n" s="20">
        <v>0</v>
      </c>
      <c r="G417" t="n" s="19">
        <v>0</v>
      </c>
      <c r="H417" t="n" s="21">
        <v>0</v>
      </c>
      <c r="I417" t="n" s="18">
        <v>0</v>
      </c>
      <c r="J417" t="n" s="18">
        <v>0</v>
      </c>
      <c r="K417" t="n" s="20">
        <v>0</v>
      </c>
      <c r="L417" t="n" s="21">
        <v>0</v>
      </c>
      <c r="M417" t="n" s="19">
        <v>0</v>
      </c>
    </row>
    <row r="418" hidden="0" ht="15" customHeight="1" spans="1:1">
      <c r="A418" t="str" s="17">
        <f>HYPERLINK("https://amazon.com/dp/B0GGZXM3GQ", "B0GGZXM3GQ")</f>
      </c>
      <c r="B418" t="s">
        <v>432</v>
      </c>
      <c r="C418" t="s">
        <v>22</v>
      </c>
      <c r="D418" t="n" s="18">
        <v>0</v>
      </c>
      <c r="E418" t="n" s="19">
        <v>0</v>
      </c>
      <c r="F418" t="n" s="20">
        <v>0</v>
      </c>
      <c r="G418" t="n" s="19">
        <v>0</v>
      </c>
      <c r="H418" t="n" s="21">
        <v>0</v>
      </c>
      <c r="I418" t="n" s="18">
        <v>0</v>
      </c>
      <c r="J418" t="n" s="18">
        <v>0</v>
      </c>
      <c r="K418" t="n" s="20">
        <v>0</v>
      </c>
      <c r="L418" t="n" s="21">
        <v>0</v>
      </c>
      <c r="M418" t="n" s="19">
        <v>0</v>
      </c>
    </row>
    <row r="419" hidden="0" ht="15" customHeight="1" spans="1:1">
      <c r="A419" t="str" s="17">
        <f>HYPERLINK("https://amazon.com/dp/B0971J5FM9", "B0971J5FM9")</f>
      </c>
      <c r="B419" t="s">
        <v>433</v>
      </c>
      <c r="C419" t="s">
        <v>15</v>
      </c>
      <c r="D419" t="n" s="18">
        <v>0</v>
      </c>
      <c r="E419" t="n" s="19">
        <v>0</v>
      </c>
      <c r="F419" t="n" s="20">
        <v>0</v>
      </c>
      <c r="G419" t="n" s="19">
        <v>0</v>
      </c>
      <c r="H419" t="n" s="21">
        <v>0</v>
      </c>
      <c r="I419" t="n" s="18">
        <v>0</v>
      </c>
      <c r="J419" t="n" s="18">
        <v>0</v>
      </c>
      <c r="K419" t="n" s="20">
        <v>0</v>
      </c>
      <c r="L419" t="n" s="21">
        <v>0</v>
      </c>
      <c r="M419" t="n" s="19">
        <v>0</v>
      </c>
    </row>
    <row r="420" hidden="0" ht="15" customHeight="1" spans="1:1">
      <c r="A420" t="str" s="17">
        <f>HYPERLINK("https://amazon.com/dp/B07TFZWD2R", "B07TFZWD2R")</f>
      </c>
      <c r="B420" t="s">
        <v>434</v>
      </c>
      <c r="C420" t="s">
        <v>15</v>
      </c>
      <c r="D420" t="n" s="18">
        <v>0</v>
      </c>
      <c r="E420" t="n" s="19">
        <v>0</v>
      </c>
      <c r="F420" t="n" s="20">
        <v>0</v>
      </c>
      <c r="G420" t="n" s="19">
        <v>0</v>
      </c>
      <c r="H420" t="n" s="21">
        <v>0</v>
      </c>
      <c r="I420" t="n" s="18">
        <v>0</v>
      </c>
      <c r="J420" t="n" s="18">
        <v>0</v>
      </c>
      <c r="K420" t="n" s="20">
        <v>0</v>
      </c>
      <c r="L420" t="n" s="21">
        <v>0</v>
      </c>
      <c r="M420" t="n" s="19">
        <v>0</v>
      </c>
    </row>
    <row r="421" hidden="0" ht="15" customHeight="1" spans="1:1">
      <c r="A421" t="str" s="17">
        <f>HYPERLINK("https://amazon.com/dp/B0DB884ZRZ", "B0DB884ZRZ")</f>
      </c>
      <c r="B421" t="s">
        <v>435</v>
      </c>
      <c r="C421" t="s">
        <v>22</v>
      </c>
      <c r="D421" t="n" s="18">
        <v>0</v>
      </c>
      <c r="E421" t="n" s="19">
        <v>0</v>
      </c>
      <c r="F421" t="n" s="20">
        <v>0</v>
      </c>
      <c r="G421" t="n" s="19">
        <v>0</v>
      </c>
      <c r="H421" t="n" s="21">
        <v>0</v>
      </c>
      <c r="I421" t="n" s="18">
        <v>0</v>
      </c>
      <c r="J421" t="n" s="18">
        <v>0</v>
      </c>
      <c r="K421" t="n" s="20">
        <v>0</v>
      </c>
      <c r="L421" t="n" s="21">
        <v>0</v>
      </c>
      <c r="M421" t="n" s="19">
        <v>0</v>
      </c>
    </row>
    <row r="422" hidden="0" ht="15" customHeight="1" spans="1:1">
      <c r="A422" t="str" s="17">
        <f>HYPERLINK("https://amazon.com/dp/B07YMFZ28Q", "B07YMFZ28Q")</f>
      </c>
      <c r="B422" t="s">
        <v>436</v>
      </c>
      <c r="C422" t="s">
        <v>15</v>
      </c>
      <c r="D422" t="n" s="18">
        <v>0</v>
      </c>
      <c r="E422" t="n" s="19">
        <v>0</v>
      </c>
      <c r="F422" t="n" s="20">
        <v>0</v>
      </c>
      <c r="G422" t="n" s="19">
        <v>0</v>
      </c>
      <c r="H422" t="n" s="21">
        <v>0</v>
      </c>
      <c r="I422" t="n" s="18">
        <v>0</v>
      </c>
      <c r="J422" t="n" s="18">
        <v>0</v>
      </c>
      <c r="K422" t="n" s="20">
        <v>0</v>
      </c>
      <c r="L422" t="n" s="21">
        <v>0</v>
      </c>
      <c r="M422" t="n" s="19">
        <v>0</v>
      </c>
    </row>
    <row r="423" hidden="0" ht="15" customHeight="1" spans="1:1">
      <c r="A423" t="str" s="17">
        <f>HYPERLINK("https://amazon.com/dp/B0DK5S16SM", "B0DK5S16SM")</f>
      </c>
      <c r="B423" t="s">
        <v>437</v>
      </c>
      <c r="C423" t="s">
        <v>22</v>
      </c>
      <c r="D423" t="n" s="18">
        <v>0</v>
      </c>
      <c r="E423" t="n" s="19">
        <v>0</v>
      </c>
      <c r="F423" t="n" s="20">
        <v>0</v>
      </c>
      <c r="G423" t="n" s="19">
        <v>0</v>
      </c>
      <c r="H423" t="n" s="21">
        <v>0</v>
      </c>
      <c r="I423" t="n" s="18">
        <v>0</v>
      </c>
      <c r="J423" t="n" s="18">
        <v>0</v>
      </c>
      <c r="K423" t="n" s="20">
        <v>0</v>
      </c>
      <c r="L423" t="n" s="21">
        <v>0</v>
      </c>
      <c r="M423" t="n" s="19">
        <v>0</v>
      </c>
    </row>
    <row r="424" hidden="0" ht="15" customHeight="1" spans="1:1">
      <c r="A424" t="str" s="17">
        <f>HYPERLINK("https://amazon.com/dp/B0BTBNNCBM", "B0BTBNNCBM")</f>
      </c>
      <c r="B424" t="s">
        <v>438</v>
      </c>
      <c r="C424" t="s">
        <v>15</v>
      </c>
      <c r="D424" t="n" s="18">
        <v>0</v>
      </c>
      <c r="E424" t="n" s="19">
        <v>0</v>
      </c>
      <c r="F424" t="n" s="20">
        <v>0</v>
      </c>
      <c r="G424" t="n" s="19">
        <v>0</v>
      </c>
      <c r="H424" t="n" s="21">
        <v>0</v>
      </c>
      <c r="I424" t="n" s="18">
        <v>0</v>
      </c>
      <c r="J424" t="n" s="18">
        <v>0</v>
      </c>
      <c r="K424" t="n" s="20">
        <v>0</v>
      </c>
      <c r="L424" t="n" s="21">
        <v>0</v>
      </c>
      <c r="M424" t="n" s="19">
        <v>0</v>
      </c>
    </row>
    <row r="425" hidden="0" ht="15" customHeight="1" spans="1:1">
      <c r="A425" t="str" s="17">
        <f>HYPERLINK("https://amazon.com/dp/B07L4564KF", "B07L4564KF")</f>
      </c>
      <c r="B425" t="s">
        <v>439</v>
      </c>
      <c r="C425" t="s">
        <v>15</v>
      </c>
      <c r="D425" t="n" s="18">
        <v>0</v>
      </c>
      <c r="E425" t="n" s="19">
        <v>0</v>
      </c>
      <c r="F425" t="n" s="20">
        <v>0</v>
      </c>
      <c r="G425" t="n" s="19">
        <v>0</v>
      </c>
      <c r="H425" t="n" s="21">
        <v>0</v>
      </c>
      <c r="I425" t="n" s="18">
        <v>0</v>
      </c>
      <c r="J425" t="n" s="18">
        <v>0</v>
      </c>
      <c r="K425" t="n" s="20">
        <v>0</v>
      </c>
      <c r="L425" t="n" s="21">
        <v>0</v>
      </c>
      <c r="M425" t="n" s="19">
        <v>0</v>
      </c>
    </row>
    <row r="426" hidden="0" ht="15" customHeight="1" spans="1:1">
      <c r="A426" t="str" s="17">
        <f>HYPERLINK("https://amazon.com/dp/B09WXZWRKC", "B09WXZWRKC")</f>
      </c>
      <c r="B426" t="s">
        <v>440</v>
      </c>
      <c r="C426" t="s">
        <v>15</v>
      </c>
      <c r="D426" t="n" s="18">
        <v>0</v>
      </c>
      <c r="E426" t="n" s="19">
        <v>0</v>
      </c>
      <c r="F426" t="n" s="20">
        <v>0</v>
      </c>
      <c r="G426" t="n" s="19">
        <v>0</v>
      </c>
      <c r="H426" t="n" s="21">
        <v>0</v>
      </c>
      <c r="I426" t="n" s="18">
        <v>0</v>
      </c>
      <c r="J426" t="n" s="18">
        <v>0</v>
      </c>
      <c r="K426" t="n" s="20">
        <v>0</v>
      </c>
      <c r="L426" t="n" s="21">
        <v>0</v>
      </c>
      <c r="M426" t="n" s="19">
        <v>0</v>
      </c>
    </row>
    <row r="427" hidden="0" ht="15" customHeight="1" spans="1:1">
      <c r="A427" t="str" s="17">
        <f>HYPERLINK("https://amazon.com/dp/B089PQQKJ2", "B089PQQKJ2")</f>
      </c>
      <c r="B427" t="s">
        <v>441</v>
      </c>
      <c r="C427" t="s">
        <v>15</v>
      </c>
      <c r="D427" t="n" s="18">
        <v>0</v>
      </c>
      <c r="E427" t="n" s="19">
        <v>0</v>
      </c>
      <c r="F427" t="n" s="20">
        <v>0</v>
      </c>
      <c r="G427" t="n" s="19">
        <v>0</v>
      </c>
      <c r="H427" t="n" s="21">
        <v>0</v>
      </c>
      <c r="I427" t="n" s="18">
        <v>0</v>
      </c>
      <c r="J427" t="n" s="18">
        <v>0</v>
      </c>
      <c r="K427" t="n" s="20">
        <v>0</v>
      </c>
      <c r="L427" t="n" s="21">
        <v>0</v>
      </c>
      <c r="M427" t="n" s="19">
        <v>0</v>
      </c>
    </row>
    <row r="428" hidden="0" ht="15" customHeight="1" spans="1:1">
      <c r="A428" t="str" s="17">
        <f>HYPERLINK("https://amazon.com/dp/B01D6R2WR2", "B01D6R2WR2")</f>
      </c>
      <c r="B428" t="s">
        <v>442</v>
      </c>
      <c r="C428" t="s">
        <v>15</v>
      </c>
      <c r="D428" t="n" s="18">
        <v>0</v>
      </c>
      <c r="E428" t="n" s="19">
        <v>0</v>
      </c>
      <c r="F428" t="n" s="20">
        <v>0</v>
      </c>
      <c r="G428" t="n" s="19">
        <v>0</v>
      </c>
      <c r="H428" t="n" s="21">
        <v>0</v>
      </c>
      <c r="I428" t="n" s="18">
        <v>0</v>
      </c>
      <c r="J428" t="n" s="18">
        <v>0</v>
      </c>
      <c r="K428" t="n" s="20">
        <v>0</v>
      </c>
      <c r="L428" t="n" s="21">
        <v>0</v>
      </c>
      <c r="M428" t="n" s="19">
        <v>0</v>
      </c>
    </row>
    <row r="429" hidden="0" ht="15" customHeight="1" spans="1:1">
      <c r="A429" t="str" s="17">
        <f>HYPERLINK("https://amazon.com/dp/B0763TGBTS", "B0763TGBTS")</f>
      </c>
      <c r="B429" t="s">
        <v>443</v>
      </c>
      <c r="C429" t="s">
        <v>15</v>
      </c>
      <c r="D429" t="n" s="18">
        <v>0</v>
      </c>
      <c r="E429" t="n" s="19">
        <v>0</v>
      </c>
      <c r="F429" t="n" s="20">
        <v>0</v>
      </c>
      <c r="G429" t="n" s="19">
        <v>0</v>
      </c>
      <c r="H429" t="n" s="21">
        <v>0</v>
      </c>
      <c r="I429" t="n" s="18">
        <v>0</v>
      </c>
      <c r="J429" t="n" s="18">
        <v>0</v>
      </c>
      <c r="K429" t="n" s="20">
        <v>0</v>
      </c>
      <c r="L429" t="n" s="21">
        <v>0</v>
      </c>
      <c r="M429" t="n" s="19">
        <v>0</v>
      </c>
    </row>
    <row r="430" hidden="0" ht="15" customHeight="1" spans="1:1">
      <c r="A430" t="str" s="17">
        <f>HYPERLINK("https://amazon.com/dp/B0DCZW6BV9", "B0DCZW6BV9")</f>
      </c>
      <c r="B430" t="s">
        <v>444</v>
      </c>
      <c r="C430" t="s">
        <v>22</v>
      </c>
      <c r="D430" t="n" s="18">
        <v>0</v>
      </c>
      <c r="E430" t="n" s="19">
        <v>0</v>
      </c>
      <c r="F430" t="n" s="20">
        <v>0</v>
      </c>
      <c r="G430" t="n" s="19">
        <v>0</v>
      </c>
      <c r="H430" t="n" s="21">
        <v>0</v>
      </c>
      <c r="I430" t="n" s="18">
        <v>0</v>
      </c>
      <c r="J430" t="n" s="18">
        <v>0</v>
      </c>
      <c r="K430" t="n" s="20">
        <v>0</v>
      </c>
      <c r="L430" t="n" s="21">
        <v>0</v>
      </c>
      <c r="M430" t="n" s="19">
        <v>0</v>
      </c>
    </row>
    <row r="431" hidden="0" ht="15" customHeight="1" spans="1:1">
      <c r="A431" t="str" s="17">
        <f>HYPERLINK("https://amazon.com/dp/B0041JGNPW", "B0041JGNPW")</f>
      </c>
      <c r="B431" t="s">
        <v>445</v>
      </c>
      <c r="C431" t="s">
        <v>15</v>
      </c>
      <c r="D431" t="n" s="18">
        <v>0</v>
      </c>
      <c r="E431" t="n" s="19">
        <v>0</v>
      </c>
      <c r="F431" t="n" s="20">
        <v>0</v>
      </c>
      <c r="G431" t="n" s="19">
        <v>0</v>
      </c>
      <c r="H431" t="n" s="21">
        <v>0</v>
      </c>
      <c r="I431" t="n" s="18">
        <v>0</v>
      </c>
      <c r="J431" t="n" s="18">
        <v>0</v>
      </c>
      <c r="K431" t="n" s="20">
        <v>0</v>
      </c>
      <c r="L431" t="n" s="21">
        <v>0</v>
      </c>
      <c r="M431" t="n" s="19">
        <v>0</v>
      </c>
    </row>
    <row r="432" hidden="0" ht="15" customHeight="1" spans="1:1">
      <c r="A432" t="str" s="17">
        <f>HYPERLINK("https://amazon.com/dp/B0B2X4GM2V", "B0B2X4GM2V")</f>
      </c>
      <c r="B432" t="s">
        <v>446</v>
      </c>
      <c r="C432" t="s">
        <v>15</v>
      </c>
      <c r="D432" t="n" s="18">
        <v>0</v>
      </c>
      <c r="E432" t="n" s="19">
        <v>0</v>
      </c>
      <c r="F432" t="n" s="20">
        <v>0</v>
      </c>
      <c r="G432" t="n" s="19">
        <v>0</v>
      </c>
      <c r="H432" t="n" s="21">
        <v>0</v>
      </c>
      <c r="I432" t="n" s="18">
        <v>0</v>
      </c>
      <c r="J432" t="n" s="18">
        <v>0</v>
      </c>
      <c r="K432" t="n" s="20">
        <v>0</v>
      </c>
      <c r="L432" t="n" s="21">
        <v>0</v>
      </c>
      <c r="M432" t="n" s="19">
        <v>0</v>
      </c>
    </row>
    <row r="433" hidden="0" ht="15" customHeight="1" spans="1:1">
      <c r="A433" t="str" s="17">
        <f>HYPERLINK("https://amazon.com/dp/B0D7H7S355", "B0D7H7S355")</f>
      </c>
      <c r="B433" t="s">
        <v>447</v>
      </c>
      <c r="C433" t="s">
        <v>15</v>
      </c>
      <c r="D433" t="n" s="18">
        <v>0</v>
      </c>
      <c r="E433" t="n" s="19">
        <v>0</v>
      </c>
      <c r="F433" t="n" s="20">
        <v>0</v>
      </c>
      <c r="G433" t="n" s="19">
        <v>0</v>
      </c>
      <c r="H433" t="n" s="21">
        <v>0</v>
      </c>
      <c r="I433" t="n" s="18">
        <v>0</v>
      </c>
      <c r="J433" t="n" s="18">
        <v>0</v>
      </c>
      <c r="K433" t="n" s="20">
        <v>0</v>
      </c>
      <c r="L433" t="n" s="21">
        <v>0</v>
      </c>
      <c r="M433" t="n" s="19">
        <v>0</v>
      </c>
    </row>
    <row r="434" hidden="0" ht="15" customHeight="1" spans="1:1">
      <c r="A434" t="str" s="17">
        <f>HYPERLINK("https://amazon.com/dp/B0711ZS29Y", "B0711ZS29Y")</f>
      </c>
      <c r="B434" t="s">
        <v>448</v>
      </c>
      <c r="C434" t="s">
        <v>15</v>
      </c>
      <c r="D434" t="n" s="18">
        <v>0</v>
      </c>
      <c r="E434" t="n" s="19">
        <v>0</v>
      </c>
      <c r="F434" t="n" s="20">
        <v>0</v>
      </c>
      <c r="G434" t="n" s="19">
        <v>0</v>
      </c>
      <c r="H434" t="n" s="21">
        <v>0</v>
      </c>
      <c r="I434" t="n" s="18">
        <v>0</v>
      </c>
      <c r="J434" t="n" s="18">
        <v>0</v>
      </c>
      <c r="K434" t="n" s="20">
        <v>0</v>
      </c>
      <c r="L434" t="n" s="21">
        <v>0</v>
      </c>
      <c r="M434" t="n" s="19">
        <v>0</v>
      </c>
    </row>
    <row r="435" hidden="0" ht="15" customHeight="1" spans="1:1">
      <c r="A435" t="str" s="17">
        <f>HYPERLINK("https://amazon.com/dp/B01MT4T8TN", "B01MT4T8TN")</f>
      </c>
      <c r="B435" t="s">
        <v>449</v>
      </c>
      <c r="C435" t="s">
        <v>15</v>
      </c>
      <c r="D435" t="n" s="18">
        <v>0</v>
      </c>
      <c r="E435" t="n" s="19">
        <v>0</v>
      </c>
      <c r="F435" t="n" s="20">
        <v>0</v>
      </c>
      <c r="G435" t="n" s="19">
        <v>0</v>
      </c>
      <c r="H435" t="n" s="21">
        <v>0</v>
      </c>
      <c r="I435" t="n" s="18">
        <v>0</v>
      </c>
      <c r="J435" t="n" s="18">
        <v>0</v>
      </c>
      <c r="K435" t="n" s="20">
        <v>0</v>
      </c>
      <c r="L435" t="n" s="21">
        <v>0</v>
      </c>
      <c r="M435" t="n" s="19">
        <v>0</v>
      </c>
    </row>
    <row r="436" hidden="0" ht="15" customHeight="1" spans="1:1">
      <c r="A436" t="str" s="17">
        <f>HYPERLINK("https://amazon.com/dp/B0859MHXXB", "B0859MHXXB")</f>
      </c>
      <c r="B436" t="s">
        <v>450</v>
      </c>
      <c r="C436" t="s">
        <v>15</v>
      </c>
      <c r="D436" t="n" s="18">
        <v>0</v>
      </c>
      <c r="E436" t="n" s="19">
        <v>0</v>
      </c>
      <c r="F436" t="n" s="20">
        <v>0</v>
      </c>
      <c r="G436" t="n" s="19">
        <v>0</v>
      </c>
      <c r="H436" t="n" s="21">
        <v>0</v>
      </c>
      <c r="I436" t="n" s="18">
        <v>0</v>
      </c>
      <c r="J436" t="n" s="18">
        <v>0</v>
      </c>
      <c r="K436" t="n" s="20">
        <v>0</v>
      </c>
      <c r="L436" t="n" s="21">
        <v>0</v>
      </c>
      <c r="M436" t="n" s="19">
        <v>0</v>
      </c>
    </row>
    <row r="437" hidden="0" ht="15" customHeight="1" spans="1:1">
      <c r="A437" t="str" s="17">
        <f>HYPERLINK("https://amazon.com/dp/B0DZ32G7XY", "B0DZ32G7XY")</f>
      </c>
      <c r="B437" t="s">
        <v>451</v>
      </c>
      <c r="C437" t="s">
        <v>45</v>
      </c>
      <c r="D437" t="n" s="18">
        <v>0</v>
      </c>
      <c r="E437" t="n" s="19">
        <v>0</v>
      </c>
      <c r="F437" t="n" s="20">
        <v>0</v>
      </c>
      <c r="G437" t="n" s="19">
        <v>0</v>
      </c>
      <c r="H437" t="n" s="21">
        <v>0</v>
      </c>
      <c r="I437" t="n" s="18">
        <v>0</v>
      </c>
      <c r="J437" t="n" s="18">
        <v>0</v>
      </c>
      <c r="K437" t="n" s="20">
        <v>0</v>
      </c>
      <c r="L437" t="n" s="21">
        <v>0</v>
      </c>
      <c r="M437" t="n" s="19">
        <v>0</v>
      </c>
    </row>
    <row r="438" hidden="0" ht="15" customHeight="1" spans="1:1">
      <c r="A438" t="str" s="17">
        <f>HYPERLINK("https://amazon.com/dp/B00L31BL5S", "B00L31BL5S")</f>
      </c>
      <c r="B438" t="s">
        <v>452</v>
      </c>
      <c r="C438" t="s">
        <v>15</v>
      </c>
      <c r="D438" t="n" s="18">
        <v>0</v>
      </c>
      <c r="E438" t="n" s="19">
        <v>0</v>
      </c>
      <c r="F438" t="n" s="20">
        <v>0</v>
      </c>
      <c r="G438" t="n" s="19">
        <v>0</v>
      </c>
      <c r="H438" t="n" s="21">
        <v>0</v>
      </c>
      <c r="I438" t="n" s="18">
        <v>0</v>
      </c>
      <c r="J438" t="n" s="18">
        <v>0</v>
      </c>
      <c r="K438" t="n" s="20">
        <v>0</v>
      </c>
      <c r="L438" t="n" s="21">
        <v>0</v>
      </c>
      <c r="M438" t="n" s="19">
        <v>0</v>
      </c>
    </row>
    <row r="439" hidden="0" ht="15" customHeight="1" spans="1:1">
      <c r="A439" t="str" s="17">
        <f>HYPERLINK("https://amazon.com/dp/B08DP3WWXW", "B08DP3WWXW")</f>
      </c>
      <c r="B439" t="s">
        <v>453</v>
      </c>
      <c r="C439" t="s">
        <v>15</v>
      </c>
      <c r="D439" t="n" s="18">
        <v>0</v>
      </c>
      <c r="E439" t="n" s="19">
        <v>0</v>
      </c>
      <c r="F439" t="n" s="20">
        <v>0</v>
      </c>
      <c r="G439" t="n" s="19">
        <v>0</v>
      </c>
      <c r="H439" t="n" s="21">
        <v>0</v>
      </c>
      <c r="I439" t="n" s="18">
        <v>0</v>
      </c>
      <c r="J439" t="n" s="18">
        <v>0</v>
      </c>
      <c r="K439" t="n" s="20">
        <v>0</v>
      </c>
      <c r="L439" t="n" s="21">
        <v>0</v>
      </c>
      <c r="M439" t="n" s="19">
        <v>0</v>
      </c>
    </row>
    <row r="440" hidden="0" ht="15" customHeight="1" spans="1:1">
      <c r="A440" t="str" s="17">
        <f>HYPERLINK("https://amazon.com/dp/B001PS9E5I", "B001PS9E5I")</f>
      </c>
      <c r="B440" t="s">
        <v>454</v>
      </c>
      <c r="C440" t="s">
        <v>15</v>
      </c>
      <c r="D440" t="n" s="18">
        <v>0</v>
      </c>
      <c r="E440" t="n" s="19">
        <v>0</v>
      </c>
      <c r="F440" t="n" s="20">
        <v>0</v>
      </c>
      <c r="G440" t="n" s="19">
        <v>0</v>
      </c>
      <c r="H440" t="n" s="21">
        <v>0</v>
      </c>
      <c r="I440" t="n" s="18">
        <v>0</v>
      </c>
      <c r="J440" t="n" s="18">
        <v>0</v>
      </c>
      <c r="K440" t="n" s="20">
        <v>0</v>
      </c>
      <c r="L440" t="n" s="21">
        <v>0</v>
      </c>
      <c r="M440" t="n" s="19">
        <v>0</v>
      </c>
    </row>
    <row r="441" hidden="0" ht="15" customHeight="1" spans="1:1">
      <c r="A441" t="str" s="17">
        <f>HYPERLINK("https://amazon.com/dp/B0B5PLYWVH", "B0B5PLYWVH")</f>
      </c>
      <c r="B441" t="s">
        <v>455</v>
      </c>
      <c r="C441" t="s">
        <v>15</v>
      </c>
      <c r="D441" t="n" s="18">
        <v>0</v>
      </c>
      <c r="E441" t="n" s="19">
        <v>0</v>
      </c>
      <c r="F441" t="n" s="20">
        <v>0</v>
      </c>
      <c r="G441" t="n" s="19">
        <v>0</v>
      </c>
      <c r="H441" t="n" s="21">
        <v>0</v>
      </c>
      <c r="I441" t="n" s="18">
        <v>0</v>
      </c>
      <c r="J441" t="n" s="18">
        <v>0</v>
      </c>
      <c r="K441" t="n" s="20">
        <v>0</v>
      </c>
      <c r="L441" t="n" s="21">
        <v>0</v>
      </c>
      <c r="M441" t="n" s="19">
        <v>0</v>
      </c>
    </row>
    <row r="442" hidden="0" ht="15" customHeight="1" spans="1:1">
      <c r="A442" t="str" s="17">
        <f>HYPERLINK("https://amazon.com/dp/B097C6TJ26", "B097C6TJ26")</f>
      </c>
      <c r="B442" t="s">
        <v>456</v>
      </c>
      <c r="C442" t="s">
        <v>15</v>
      </c>
      <c r="D442" t="n" s="18">
        <v>0</v>
      </c>
      <c r="E442" t="n" s="19">
        <v>0</v>
      </c>
      <c r="F442" t="n" s="20">
        <v>0</v>
      </c>
      <c r="G442" t="n" s="19">
        <v>0</v>
      </c>
      <c r="H442" t="n" s="21">
        <v>0</v>
      </c>
      <c r="I442" t="n" s="18">
        <v>0</v>
      </c>
      <c r="J442" t="n" s="18">
        <v>0</v>
      </c>
      <c r="K442" t="n" s="20">
        <v>0</v>
      </c>
      <c r="L442" t="n" s="21">
        <v>0</v>
      </c>
      <c r="M442" t="n" s="19">
        <v>0</v>
      </c>
    </row>
    <row r="443" hidden="0" ht="15" customHeight="1" spans="1:1">
      <c r="A443" t="str" s="17">
        <f>HYPERLINK("https://amazon.com/dp/B08GDC3534", "B08GDC3534")</f>
      </c>
      <c r="B443" t="s">
        <v>457</v>
      </c>
      <c r="C443" t="s">
        <v>15</v>
      </c>
      <c r="D443" t="n" s="18">
        <v>0</v>
      </c>
      <c r="E443" t="n" s="19">
        <v>0</v>
      </c>
      <c r="F443" t="n" s="20">
        <v>0</v>
      </c>
      <c r="G443" t="n" s="19">
        <v>0</v>
      </c>
      <c r="H443" t="n" s="21">
        <v>0</v>
      </c>
      <c r="I443" t="n" s="18">
        <v>0</v>
      </c>
      <c r="J443" t="n" s="18">
        <v>0</v>
      </c>
      <c r="K443" t="n" s="20">
        <v>0</v>
      </c>
      <c r="L443" t="n" s="21">
        <v>0</v>
      </c>
      <c r="M443" t="n" s="19">
        <v>0</v>
      </c>
    </row>
    <row r="444" hidden="0" ht="15" customHeight="1" spans="1:1">
      <c r="A444" t="str" s="17">
        <f>HYPERLINK("https://amazon.com/dp/B07GVSL6MD", "B07GVSL6MD")</f>
      </c>
      <c r="B444" t="s">
        <v>458</v>
      </c>
      <c r="C444" t="s">
        <v>15</v>
      </c>
      <c r="D444" t="n" s="18">
        <v>0</v>
      </c>
      <c r="E444" t="n" s="19">
        <v>0</v>
      </c>
      <c r="F444" t="n" s="20">
        <v>0</v>
      </c>
      <c r="G444" t="n" s="19">
        <v>0</v>
      </c>
      <c r="H444" t="n" s="21">
        <v>0</v>
      </c>
      <c r="I444" t="n" s="18">
        <v>0</v>
      </c>
      <c r="J444" t="n" s="18">
        <v>0</v>
      </c>
      <c r="K444" t="n" s="20">
        <v>0</v>
      </c>
      <c r="L444" t="n" s="21">
        <v>0</v>
      </c>
      <c r="M444" t="n" s="19">
        <v>0</v>
      </c>
    </row>
    <row r="445" hidden="0" ht="15" customHeight="1" spans="1:1">
      <c r="A445" t="str" s="17">
        <f>HYPERLINK("https://amazon.com/dp/B0F6D3PKNQ", "B0F6D3PKNQ")</f>
      </c>
      <c r="B445" t="s">
        <v>459</v>
      </c>
      <c r="C445" t="s">
        <v>22</v>
      </c>
      <c r="D445" t="n" s="18">
        <v>0</v>
      </c>
      <c r="E445" t="n" s="19">
        <v>0</v>
      </c>
      <c r="F445" t="n" s="20">
        <v>0</v>
      </c>
      <c r="G445" t="n" s="19">
        <v>0</v>
      </c>
      <c r="H445" t="n" s="21">
        <v>0</v>
      </c>
      <c r="I445" t="n" s="18">
        <v>0</v>
      </c>
      <c r="J445" t="n" s="18">
        <v>0</v>
      </c>
      <c r="K445" t="n" s="20">
        <v>0</v>
      </c>
      <c r="L445" t="n" s="21">
        <v>0</v>
      </c>
      <c r="M445" t="n" s="19">
        <v>0</v>
      </c>
    </row>
    <row r="446" hidden="0" ht="15" customHeight="1" spans="1:1">
      <c r="A446" t="str" s="17">
        <f>HYPERLINK("https://amazon.com/dp/B07Z5JD3T4", "B07Z5JD3T4")</f>
      </c>
      <c r="B446" t="s">
        <v>460</v>
      </c>
      <c r="C446" t="s">
        <v>22</v>
      </c>
      <c r="D446" t="n" s="18">
        <v>0</v>
      </c>
      <c r="E446" t="n" s="19">
        <v>0</v>
      </c>
      <c r="F446" t="n" s="20">
        <v>0</v>
      </c>
      <c r="G446" t="n" s="19">
        <v>0</v>
      </c>
      <c r="H446" t="n" s="21">
        <v>0</v>
      </c>
      <c r="I446" t="n" s="18">
        <v>0</v>
      </c>
      <c r="J446" t="n" s="18">
        <v>0</v>
      </c>
      <c r="K446" t="n" s="20">
        <v>0</v>
      </c>
      <c r="L446" t="n" s="21">
        <v>0</v>
      </c>
      <c r="M446" t="n" s="19">
        <v>0</v>
      </c>
    </row>
    <row r="447" hidden="0" ht="15" customHeight="1" spans="1:1">
      <c r="A447" t="str" s="17">
        <f>HYPERLINK("https://amazon.com/dp/B0GWHHFQMT", "B0GWHHFQMT")</f>
      </c>
      <c r="B447" t="s">
        <v>461</v>
      </c>
      <c r="C447" t="s">
        <v>45</v>
      </c>
      <c r="D447" t="n" s="18">
        <v>0</v>
      </c>
      <c r="E447" t="n" s="19">
        <v>0</v>
      </c>
      <c r="F447" t="n" s="20">
        <v>0</v>
      </c>
      <c r="G447" t="n" s="19">
        <v>0</v>
      </c>
      <c r="H447" t="n" s="21">
        <v>0</v>
      </c>
      <c r="I447" t="n" s="18">
        <v>0</v>
      </c>
      <c r="J447" t="n" s="18">
        <v>0</v>
      </c>
      <c r="K447" t="n" s="20">
        <v>0</v>
      </c>
      <c r="L447" t="n" s="21">
        <v>0</v>
      </c>
      <c r="M447" t="n" s="19">
        <v>0</v>
      </c>
    </row>
    <row r="448" hidden="0" ht="15" customHeight="1" spans="1:1">
      <c r="A448" t="str" s="17">
        <f>HYPERLINK("https://amazon.com/dp/B0BD58BZ6F", "B0BD58BZ6F")</f>
      </c>
      <c r="B448" t="s">
        <v>462</v>
      </c>
      <c r="C448" t="s">
        <v>22</v>
      </c>
      <c r="D448" t="n" s="18">
        <v>0</v>
      </c>
      <c r="E448" t="n" s="19">
        <v>0</v>
      </c>
      <c r="F448" t="n" s="20">
        <v>0</v>
      </c>
      <c r="G448" t="n" s="19">
        <v>0</v>
      </c>
      <c r="H448" t="n" s="21">
        <v>0</v>
      </c>
      <c r="I448" t="n" s="18">
        <v>0</v>
      </c>
      <c r="J448" t="n" s="18">
        <v>0</v>
      </c>
      <c r="K448" t="n" s="20">
        <v>0</v>
      </c>
      <c r="L448" t="n" s="21">
        <v>0</v>
      </c>
      <c r="M448" t="n" s="19">
        <v>0</v>
      </c>
    </row>
    <row r="449" hidden="0" ht="15" customHeight="1" spans="1:1">
      <c r="A449" t="str" s="17">
        <f>HYPERLINK("https://amazon.com/dp/B07L44Y6F9", "B07L44Y6F9")</f>
      </c>
      <c r="B449" t="s">
        <v>463</v>
      </c>
      <c r="C449" t="s">
        <v>15</v>
      </c>
      <c r="D449" t="n" s="18">
        <v>0</v>
      </c>
      <c r="E449" t="n" s="19">
        <v>0</v>
      </c>
      <c r="F449" t="n" s="20">
        <v>0</v>
      </c>
      <c r="G449" t="n" s="19">
        <v>0</v>
      </c>
      <c r="H449" t="n" s="21">
        <v>0</v>
      </c>
      <c r="I449" t="n" s="18">
        <v>0</v>
      </c>
      <c r="J449" t="n" s="18">
        <v>0</v>
      </c>
      <c r="K449" t="n" s="20">
        <v>0</v>
      </c>
      <c r="L449" t="n" s="21">
        <v>0</v>
      </c>
      <c r="M449" t="n" s="19">
        <v>0</v>
      </c>
    </row>
    <row r="450" hidden="0" ht="15" customHeight="1" spans="1:1">
      <c r="A450" t="str" s="17">
        <f>HYPERLINK("https://amazon.com/dp/B0BNYS51LZ", "B0BNYS51LZ")</f>
      </c>
      <c r="B450" t="s">
        <v>464</v>
      </c>
      <c r="C450" t="s">
        <v>15</v>
      </c>
      <c r="D450" t="n" s="18">
        <v>0</v>
      </c>
      <c r="E450" t="n" s="19">
        <v>0</v>
      </c>
      <c r="F450" t="n" s="20">
        <v>0</v>
      </c>
      <c r="G450" t="n" s="19">
        <v>0</v>
      </c>
      <c r="H450" t="n" s="21">
        <v>0</v>
      </c>
      <c r="I450" t="n" s="18">
        <v>0</v>
      </c>
      <c r="J450" t="n" s="18">
        <v>0</v>
      </c>
      <c r="K450" t="n" s="20">
        <v>0</v>
      </c>
      <c r="L450" t="n" s="21">
        <v>0</v>
      </c>
      <c r="M450" t="n" s="19">
        <v>0</v>
      </c>
    </row>
    <row r="451" hidden="0" ht="15" customHeight="1" spans="1:1">
      <c r="A451" t="str" s="17">
        <f>HYPERLINK("https://amazon.com/dp/B06Y2C4H78", "B06Y2C4H78")</f>
      </c>
      <c r="B451" t="s">
        <v>465</v>
      </c>
      <c r="C451" t="s">
        <v>15</v>
      </c>
      <c r="D451" t="n" s="18">
        <v>0</v>
      </c>
      <c r="E451" t="n" s="19">
        <v>0</v>
      </c>
      <c r="F451" t="n" s="20">
        <v>0</v>
      </c>
      <c r="G451" t="n" s="19">
        <v>0</v>
      </c>
      <c r="H451" t="n" s="21">
        <v>0</v>
      </c>
      <c r="I451" t="n" s="18">
        <v>0</v>
      </c>
      <c r="J451" t="n" s="18">
        <v>0</v>
      </c>
      <c r="K451" t="n" s="20">
        <v>0</v>
      </c>
      <c r="L451" t="n" s="21">
        <v>0</v>
      </c>
      <c r="M451" t="n" s="19">
        <v>0</v>
      </c>
    </row>
    <row r="452" hidden="0" ht="15" customHeight="1" spans="1:1">
      <c r="A452" t="str" s="17">
        <f>HYPERLINK("https://amazon.com/dp/B08XNLQ74V", "B08XNLQ74V")</f>
      </c>
      <c r="B452" t="s">
        <v>466</v>
      </c>
      <c r="C452" t="s">
        <v>15</v>
      </c>
      <c r="D452" t="n" s="18">
        <v>0</v>
      </c>
      <c r="E452" t="n" s="19">
        <v>0</v>
      </c>
      <c r="F452" t="n" s="20">
        <v>0</v>
      </c>
      <c r="G452" t="n" s="19">
        <v>0</v>
      </c>
      <c r="H452" t="n" s="21">
        <v>0</v>
      </c>
      <c r="I452" t="n" s="18">
        <v>0</v>
      </c>
      <c r="J452" t="n" s="18">
        <v>0</v>
      </c>
      <c r="K452" t="n" s="20">
        <v>0</v>
      </c>
      <c r="L452" t="n" s="21">
        <v>0</v>
      </c>
      <c r="M452" t="n" s="19">
        <v>0</v>
      </c>
    </row>
    <row r="453" hidden="0" ht="15" customHeight="1" spans="1:1">
      <c r="A453" t="str" s="17">
        <f>HYPERLINK("https://amazon.com/dp/B09BFT7NZJ", "B09BFT7NZJ")</f>
      </c>
      <c r="B453" t="s">
        <v>467</v>
      </c>
      <c r="C453" t="s">
        <v>22</v>
      </c>
      <c r="D453" t="n" s="18">
        <v>0</v>
      </c>
      <c r="E453" t="n" s="19">
        <v>0</v>
      </c>
      <c r="F453" t="n" s="20">
        <v>0</v>
      </c>
      <c r="G453" t="n" s="19">
        <v>0</v>
      </c>
      <c r="H453" t="n" s="21">
        <v>0</v>
      </c>
      <c r="I453" t="n" s="18">
        <v>0</v>
      </c>
      <c r="J453" t="n" s="18">
        <v>0</v>
      </c>
      <c r="K453" t="n" s="20">
        <v>0</v>
      </c>
      <c r="L453" t="n" s="21">
        <v>0</v>
      </c>
      <c r="M453" t="n" s="19">
        <v>0</v>
      </c>
    </row>
    <row r="454" hidden="0" ht="15" customHeight="1" spans="1:1">
      <c r="A454" t="str" s="17">
        <f>HYPERLINK("https://amazon.com/dp/B0DK5TR1XS", "B0DK5TR1XS")</f>
      </c>
      <c r="B454" t="s">
        <v>468</v>
      </c>
      <c r="C454" t="s">
        <v>22</v>
      </c>
      <c r="D454" t="n" s="18">
        <v>0</v>
      </c>
      <c r="E454" t="n" s="19">
        <v>0</v>
      </c>
      <c r="F454" t="n" s="20">
        <v>0</v>
      </c>
      <c r="G454" t="n" s="19">
        <v>0</v>
      </c>
      <c r="H454" t="n" s="21">
        <v>0</v>
      </c>
      <c r="I454" t="n" s="18">
        <v>0</v>
      </c>
      <c r="J454" t="n" s="18">
        <v>0</v>
      </c>
      <c r="K454" t="n" s="20">
        <v>0</v>
      </c>
      <c r="L454" t="n" s="21">
        <v>0</v>
      </c>
      <c r="M454" t="n" s="19">
        <v>0</v>
      </c>
    </row>
    <row r="455" hidden="0" ht="15" customHeight="1" spans="1:1">
      <c r="A455" t="str" s="17">
        <f>HYPERLINK("https://amazon.com/dp/B011RACHN4", "B011RACHN4")</f>
      </c>
      <c r="B455" t="s">
        <v>469</v>
      </c>
      <c r="C455" t="s">
        <v>15</v>
      </c>
      <c r="D455" t="n" s="18">
        <v>0</v>
      </c>
      <c r="E455" t="n" s="19">
        <v>0</v>
      </c>
      <c r="F455" t="n" s="20">
        <v>0</v>
      </c>
      <c r="G455" t="n" s="19">
        <v>0</v>
      </c>
      <c r="H455" t="n" s="21">
        <v>0</v>
      </c>
      <c r="I455" t="n" s="18">
        <v>0</v>
      </c>
      <c r="J455" t="n" s="18">
        <v>0</v>
      </c>
      <c r="K455" t="n" s="20">
        <v>0</v>
      </c>
      <c r="L455" t="n" s="21">
        <v>0</v>
      </c>
      <c r="M455" t="n" s="19">
        <v>0</v>
      </c>
    </row>
    <row r="456" hidden="0" ht="15" customHeight="1" spans="1:1">
      <c r="A456" t="str" s="17">
        <f>HYPERLINK("https://amazon.com/dp/B08DP2Q1M9", "B08DP2Q1M9")</f>
      </c>
      <c r="B456" t="s">
        <v>470</v>
      </c>
      <c r="C456" t="s">
        <v>15</v>
      </c>
      <c r="D456" t="n" s="18">
        <v>0</v>
      </c>
      <c r="E456" t="n" s="19">
        <v>0</v>
      </c>
      <c r="F456" t="n" s="20">
        <v>0</v>
      </c>
      <c r="G456" t="n" s="19">
        <v>0</v>
      </c>
      <c r="H456" t="n" s="21">
        <v>0</v>
      </c>
      <c r="I456" t="n" s="18">
        <v>0</v>
      </c>
      <c r="J456" t="n" s="18">
        <v>0</v>
      </c>
      <c r="K456" t="n" s="20">
        <v>0</v>
      </c>
      <c r="L456" t="n" s="21">
        <v>0</v>
      </c>
      <c r="M456" t="n" s="19">
        <v>0</v>
      </c>
    </row>
    <row r="457" hidden="0" ht="15" customHeight="1" spans="1:1">
      <c r="A457" t="str" s="17">
        <f>HYPERLINK("https://amazon.com/dp/B010RXXY48", "B010RXXY48")</f>
      </c>
      <c r="B457" t="s">
        <v>471</v>
      </c>
      <c r="C457" t="s">
        <v>15</v>
      </c>
      <c r="D457" t="n" s="18">
        <v>0</v>
      </c>
      <c r="E457" t="n" s="19">
        <v>0</v>
      </c>
      <c r="F457" t="n" s="20">
        <v>0</v>
      </c>
      <c r="G457" t="n" s="19">
        <v>0</v>
      </c>
      <c r="H457" t="n" s="21">
        <v>0</v>
      </c>
      <c r="I457" t="n" s="18">
        <v>0</v>
      </c>
      <c r="J457" t="n" s="18">
        <v>0</v>
      </c>
      <c r="K457" t="n" s="20">
        <v>0</v>
      </c>
      <c r="L457" t="n" s="21">
        <v>0</v>
      </c>
      <c r="M457" t="n" s="19">
        <v>0</v>
      </c>
    </row>
    <row r="458" hidden="0" ht="15" customHeight="1" spans="1:1">
      <c r="A458" t="str" s="17">
        <f>HYPERLINK("https://amazon.com/dp/B00LI3Y6TE", "B00LI3Y6TE")</f>
      </c>
      <c r="B458" t="s">
        <v>472</v>
      </c>
      <c r="C458" t="s">
        <v>15</v>
      </c>
      <c r="D458" t="n" s="18">
        <v>0</v>
      </c>
      <c r="E458" t="n" s="19">
        <v>0</v>
      </c>
      <c r="F458" t="n" s="20">
        <v>0</v>
      </c>
      <c r="G458" t="n" s="19">
        <v>0</v>
      </c>
      <c r="H458" t="n" s="21">
        <v>0</v>
      </c>
      <c r="I458" t="n" s="18">
        <v>0</v>
      </c>
      <c r="J458" t="n" s="18">
        <v>0</v>
      </c>
      <c r="K458" t="n" s="20">
        <v>0</v>
      </c>
      <c r="L458" t="n" s="21">
        <v>0</v>
      </c>
      <c r="M458" t="n" s="19">
        <v>0</v>
      </c>
    </row>
    <row r="459" hidden="0" ht="15" customHeight="1" spans="1:1">
      <c r="A459" t="str" s="17">
        <f>HYPERLINK("https://amazon.com/dp/B0873T3387", "B0873T3387")</f>
      </c>
      <c r="B459" t="s">
        <v>473</v>
      </c>
      <c r="C459" t="s">
        <v>45</v>
      </c>
      <c r="D459" t="n" s="18">
        <v>0</v>
      </c>
      <c r="E459" t="n" s="19">
        <v>0</v>
      </c>
      <c r="F459" t="n" s="20">
        <v>0</v>
      </c>
      <c r="G459" t="n" s="19">
        <v>0</v>
      </c>
      <c r="H459" t="n" s="21">
        <v>0</v>
      </c>
      <c r="I459" t="n" s="18">
        <v>0</v>
      </c>
      <c r="J459" t="n" s="18">
        <v>0</v>
      </c>
      <c r="K459" t="n" s="20">
        <v>0</v>
      </c>
      <c r="L459" t="n" s="21">
        <v>0</v>
      </c>
      <c r="M459" t="n" s="19">
        <v>0</v>
      </c>
    </row>
    <row r="460" hidden="0" ht="15" customHeight="1" spans="1:1">
      <c r="A460" t="str" s="17">
        <f>HYPERLINK("https://amazon.com/dp/B0759QMF85", "B0759QMF85")</f>
      </c>
      <c r="B460" t="s">
        <v>474</v>
      </c>
      <c r="C460" t="s">
        <v>15</v>
      </c>
      <c r="D460" t="n" s="18">
        <v>0</v>
      </c>
      <c r="E460" t="n" s="19">
        <v>0</v>
      </c>
      <c r="F460" t="n" s="20">
        <v>0</v>
      </c>
      <c r="G460" t="n" s="19">
        <v>0</v>
      </c>
      <c r="H460" t="n" s="21">
        <v>0</v>
      </c>
      <c r="I460" t="n" s="18">
        <v>0</v>
      </c>
      <c r="J460" t="n" s="18">
        <v>0</v>
      </c>
      <c r="K460" t="n" s="20">
        <v>0</v>
      </c>
      <c r="L460" t="n" s="21">
        <v>0</v>
      </c>
      <c r="M460" t="n" s="19">
        <v>0</v>
      </c>
    </row>
    <row r="461" hidden="0" ht="15" customHeight="1" spans="1:1">
      <c r="A461" t="str" s="17">
        <f>HYPERLINK("https://amazon.com/dp/B0BNYSVV3J", "B0BNYSVV3J")</f>
      </c>
      <c r="B461" t="s">
        <v>475</v>
      </c>
      <c r="C461" t="s">
        <v>22</v>
      </c>
      <c r="D461" t="n" s="18">
        <v>0</v>
      </c>
      <c r="E461" t="n" s="19">
        <v>0</v>
      </c>
      <c r="F461" t="n" s="20">
        <v>0</v>
      </c>
      <c r="G461" t="n" s="19">
        <v>0</v>
      </c>
      <c r="H461" t="n" s="21">
        <v>0</v>
      </c>
      <c r="I461" t="n" s="18">
        <v>0</v>
      </c>
      <c r="J461" t="n" s="18">
        <v>0</v>
      </c>
      <c r="K461" t="n" s="20">
        <v>0</v>
      </c>
      <c r="L461" t="n" s="21">
        <v>0</v>
      </c>
      <c r="M461" t="n" s="19">
        <v>0</v>
      </c>
    </row>
    <row r="462" hidden="0" ht="15" customHeight="1" spans="1:1">
      <c r="A462" t="str" s="17">
        <f>HYPERLINK("https://amazon.com/dp/B0C1NQ44X7", "B0C1NQ44X7")</f>
      </c>
      <c r="B462" t="s">
        <v>476</v>
      </c>
      <c r="C462" t="s">
        <v>22</v>
      </c>
      <c r="D462" t="n" s="18">
        <v>0</v>
      </c>
      <c r="E462" t="n" s="19">
        <v>0</v>
      </c>
      <c r="F462" t="n" s="20">
        <v>0</v>
      </c>
      <c r="G462" t="n" s="19">
        <v>0</v>
      </c>
      <c r="H462" t="n" s="21">
        <v>0</v>
      </c>
      <c r="I462" t="n" s="18">
        <v>0</v>
      </c>
      <c r="J462" t="n" s="18">
        <v>0</v>
      </c>
      <c r="K462" t="n" s="20">
        <v>0</v>
      </c>
      <c r="L462" t="n" s="21">
        <v>0</v>
      </c>
      <c r="M462" t="n" s="19">
        <v>0</v>
      </c>
    </row>
    <row r="463" hidden="0" ht="15" customHeight="1" spans="1:1">
      <c r="A463" t="str" s="17">
        <f>HYPERLINK("https://amazon.com/dp/B09H71Z9WC", "B09H71Z9WC")</f>
      </c>
      <c r="B463" t="s">
        <v>477</v>
      </c>
      <c r="C463" t="s">
        <v>15</v>
      </c>
      <c r="D463" t="n" s="18">
        <v>0</v>
      </c>
      <c r="E463" t="n" s="19">
        <v>0</v>
      </c>
      <c r="F463" t="n" s="20">
        <v>0</v>
      </c>
      <c r="G463" t="n" s="19">
        <v>0</v>
      </c>
      <c r="H463" t="n" s="21">
        <v>0</v>
      </c>
      <c r="I463" t="n" s="18">
        <v>0</v>
      </c>
      <c r="J463" t="n" s="18">
        <v>0</v>
      </c>
      <c r="K463" t="n" s="20">
        <v>0</v>
      </c>
      <c r="L463" t="n" s="21">
        <v>0</v>
      </c>
      <c r="M463" t="n" s="19">
        <v>0</v>
      </c>
    </row>
    <row r="464" hidden="0" ht="15" customHeight="1" spans="1:1">
      <c r="A464" t="str" s="17">
        <f>HYPERLINK("https://amazon.com/dp/B0C6JZG2ZL", "B0C6JZG2ZL")</f>
      </c>
      <c r="B464" t="s">
        <v>478</v>
      </c>
      <c r="C464" t="s">
        <v>22</v>
      </c>
      <c r="D464" t="n" s="18">
        <v>0</v>
      </c>
      <c r="E464" t="n" s="19">
        <v>0</v>
      </c>
      <c r="F464" t="n" s="20">
        <v>0</v>
      </c>
      <c r="G464" t="n" s="19">
        <v>0</v>
      </c>
      <c r="H464" t="n" s="21">
        <v>0</v>
      </c>
      <c r="I464" t="n" s="18">
        <v>0</v>
      </c>
      <c r="J464" t="n" s="18">
        <v>0</v>
      </c>
      <c r="K464" t="n" s="20">
        <v>0</v>
      </c>
      <c r="L464" t="n" s="21">
        <v>0</v>
      </c>
      <c r="M464" t="n" s="19">
        <v>0</v>
      </c>
    </row>
    <row r="465" hidden="0" ht="15" customHeight="1" spans="1:1">
      <c r="A465" t="str" s="17">
        <f>HYPERLINK("https://amazon.com/dp/B0946RP9KF", "B0946RP9KF")</f>
      </c>
      <c r="B465" t="s">
        <v>479</v>
      </c>
      <c r="C465" t="s">
        <v>15</v>
      </c>
      <c r="D465" t="n" s="18">
        <v>0</v>
      </c>
      <c r="E465" t="n" s="19">
        <v>0</v>
      </c>
      <c r="F465" t="n" s="20">
        <v>0</v>
      </c>
      <c r="G465" t="n" s="19">
        <v>0</v>
      </c>
      <c r="H465" t="n" s="21">
        <v>0</v>
      </c>
      <c r="I465" t="n" s="18">
        <v>0</v>
      </c>
      <c r="J465" t="n" s="18">
        <v>0</v>
      </c>
      <c r="K465" t="n" s="20">
        <v>0</v>
      </c>
      <c r="L465" t="n" s="21">
        <v>0</v>
      </c>
      <c r="M465" t="n" s="19">
        <v>0</v>
      </c>
    </row>
    <row r="466" hidden="0" ht="15" customHeight="1" spans="1:1">
      <c r="A466" t="str" s="17">
        <f>HYPERLINK("https://amazon.com/dp/B0DCZWSYBG", "B0DCZWSYBG")</f>
      </c>
      <c r="B466" t="s">
        <v>480</v>
      </c>
      <c r="C466" t="s">
        <v>15</v>
      </c>
      <c r="D466" t="n" s="18">
        <v>0</v>
      </c>
      <c r="E466" t="n" s="19">
        <v>0</v>
      </c>
      <c r="F466" t="n" s="20">
        <v>0</v>
      </c>
      <c r="G466" t="n" s="19">
        <v>0</v>
      </c>
      <c r="H466" t="n" s="21">
        <v>0</v>
      </c>
      <c r="I466" t="n" s="18">
        <v>0</v>
      </c>
      <c r="J466" t="n" s="18">
        <v>0</v>
      </c>
      <c r="K466" t="n" s="20">
        <v>0</v>
      </c>
      <c r="L466" t="n" s="21">
        <v>0</v>
      </c>
      <c r="M466" t="n" s="19">
        <v>0</v>
      </c>
    </row>
    <row r="467" hidden="0" ht="15" customHeight="1" spans="1:1">
      <c r="A467" t="str" s="17">
        <f>HYPERLINK("https://amazon.com/dp/B0BZMLGCC5", "B0BZMLGCC5")</f>
      </c>
      <c r="B467" t="s">
        <v>481</v>
      </c>
      <c r="C467" t="s">
        <v>22</v>
      </c>
      <c r="D467" t="n" s="18">
        <v>0</v>
      </c>
      <c r="E467" t="n" s="19">
        <v>0</v>
      </c>
      <c r="F467" t="n" s="20">
        <v>0</v>
      </c>
      <c r="G467" t="n" s="19">
        <v>0</v>
      </c>
      <c r="H467" t="n" s="21">
        <v>0</v>
      </c>
      <c r="I467" t="n" s="18">
        <v>0</v>
      </c>
      <c r="J467" t="n" s="18">
        <v>0</v>
      </c>
      <c r="K467" t="n" s="20">
        <v>0</v>
      </c>
      <c r="L467" t="n" s="21">
        <v>0</v>
      </c>
      <c r="M467" t="n" s="19">
        <v>0</v>
      </c>
    </row>
    <row r="468" hidden="0" ht="15" customHeight="1" spans="1:1">
      <c r="A468" t="str" s="17">
        <f>HYPERLINK("https://amazon.com/dp/B09SPN9B32", "B09SPN9B32")</f>
      </c>
      <c r="B468" t="s">
        <v>482</v>
      </c>
      <c r="C468" t="s">
        <v>15</v>
      </c>
      <c r="D468" t="n" s="18">
        <v>0</v>
      </c>
      <c r="E468" t="n" s="19">
        <v>0</v>
      </c>
      <c r="F468" t="n" s="20">
        <v>0</v>
      </c>
      <c r="G468" t="n" s="19">
        <v>0</v>
      </c>
      <c r="H468" t="n" s="21">
        <v>0</v>
      </c>
      <c r="I468" t="n" s="18">
        <v>0</v>
      </c>
      <c r="J468" t="n" s="18">
        <v>0</v>
      </c>
      <c r="K468" t="n" s="20">
        <v>0</v>
      </c>
      <c r="L468" t="n" s="21">
        <v>0</v>
      </c>
      <c r="M468" t="n" s="19">
        <v>0</v>
      </c>
    </row>
    <row r="469" hidden="0" ht="15" customHeight="1" spans="1:1">
      <c r="A469" t="str" s="17">
        <f>HYPERLINK("https://amazon.com/dp/B09N9RYWK2", "B09N9RYWK2")</f>
      </c>
      <c r="B469" t="s">
        <v>483</v>
      </c>
      <c r="C469" t="s">
        <v>15</v>
      </c>
      <c r="D469" t="n" s="18">
        <v>0</v>
      </c>
      <c r="E469" t="n" s="19">
        <v>0</v>
      </c>
      <c r="F469" t="n" s="20">
        <v>0</v>
      </c>
      <c r="G469" t="n" s="19">
        <v>0</v>
      </c>
      <c r="H469" t="n" s="21">
        <v>0</v>
      </c>
      <c r="I469" t="n" s="18">
        <v>0</v>
      </c>
      <c r="J469" t="n" s="18">
        <v>0</v>
      </c>
      <c r="K469" t="n" s="20">
        <v>0</v>
      </c>
      <c r="L469" t="n" s="21">
        <v>0</v>
      </c>
      <c r="M469" t="n" s="19">
        <v>0</v>
      </c>
    </row>
    <row r="470" hidden="0" ht="15" customHeight="1" spans="1:1">
      <c r="A470" t="str" s="17">
        <f>HYPERLINK("https://amazon.com/dp/B0CG1QQZ9Z", "B0CG1QQZ9Z")</f>
      </c>
      <c r="B470" t="s">
        <v>484</v>
      </c>
      <c r="C470" t="s">
        <v>15</v>
      </c>
      <c r="D470" t="n" s="18">
        <v>0</v>
      </c>
      <c r="E470" t="n" s="19">
        <v>0</v>
      </c>
      <c r="F470" t="n" s="20">
        <v>0</v>
      </c>
      <c r="G470" t="n" s="19">
        <v>0</v>
      </c>
      <c r="H470" t="n" s="21">
        <v>0</v>
      </c>
      <c r="I470" t="n" s="18">
        <v>0</v>
      </c>
      <c r="J470" t="n" s="18">
        <v>0</v>
      </c>
      <c r="K470" t="n" s="20">
        <v>0</v>
      </c>
      <c r="L470" t="n" s="21">
        <v>0</v>
      </c>
      <c r="M470" t="n" s="19">
        <v>0</v>
      </c>
    </row>
    <row r="471" hidden="0" ht="15" customHeight="1" spans="1:1">
      <c r="A471" t="str" s="17">
        <f>HYPERLINK("https://amazon.com/dp/B08CC34C99", "B08CC34C99")</f>
      </c>
      <c r="B471" t="s">
        <v>485</v>
      </c>
      <c r="C471" t="s">
        <v>15</v>
      </c>
      <c r="D471" t="n" s="18">
        <v>0</v>
      </c>
      <c r="E471" t="n" s="19">
        <v>0</v>
      </c>
      <c r="F471" t="n" s="20">
        <v>0</v>
      </c>
      <c r="G471" t="n" s="19">
        <v>0</v>
      </c>
      <c r="H471" t="n" s="21">
        <v>0</v>
      </c>
      <c r="I471" t="n" s="18">
        <v>0</v>
      </c>
      <c r="J471" t="n" s="18">
        <v>0</v>
      </c>
      <c r="K471" t="n" s="20">
        <v>0</v>
      </c>
      <c r="L471" t="n" s="21">
        <v>0</v>
      </c>
      <c r="M471" t="n" s="19">
        <v>0</v>
      </c>
    </row>
    <row r="472" hidden="0" ht="15" customHeight="1" spans="1:1">
      <c r="A472" t="str" s="17">
        <f>HYPERLINK("https://amazon.com/dp/B071S8YK9V", "B071S8YK9V")</f>
      </c>
      <c r="B472" t="s">
        <v>486</v>
      </c>
      <c r="C472" t="s">
        <v>15</v>
      </c>
      <c r="D472" t="n" s="18">
        <v>0</v>
      </c>
      <c r="E472" t="n" s="19">
        <v>0</v>
      </c>
      <c r="F472" t="n" s="20">
        <v>0</v>
      </c>
      <c r="G472" t="n" s="19">
        <v>0</v>
      </c>
      <c r="H472" t="n" s="21">
        <v>0</v>
      </c>
      <c r="I472" t="n" s="18">
        <v>0</v>
      </c>
      <c r="J472" t="n" s="18">
        <v>0</v>
      </c>
      <c r="K472" t="n" s="20">
        <v>0</v>
      </c>
      <c r="L472" t="n" s="21">
        <v>0</v>
      </c>
      <c r="M472" t="n" s="19">
        <v>0</v>
      </c>
    </row>
    <row r="473" hidden="0" ht="15" customHeight="1" spans="1:1">
      <c r="A473" t="str" s="17">
        <f>HYPERLINK("https://amazon.com/dp/B0DYV5SXYW", "B0DYV5SXYW")</f>
      </c>
      <c r="B473" t="s">
        <v>487</v>
      </c>
      <c r="C473" t="s">
        <v>15</v>
      </c>
      <c r="D473" t="n" s="18">
        <v>0</v>
      </c>
      <c r="E473" t="n" s="19">
        <v>0</v>
      </c>
      <c r="F473" t="n" s="20">
        <v>0</v>
      </c>
      <c r="G473" t="n" s="19">
        <v>0</v>
      </c>
      <c r="H473" t="n" s="21">
        <v>0</v>
      </c>
      <c r="I473" t="n" s="18">
        <v>0</v>
      </c>
      <c r="J473" t="n" s="18">
        <v>0</v>
      </c>
      <c r="K473" t="n" s="20">
        <v>0</v>
      </c>
      <c r="L473" t="n" s="21">
        <v>0</v>
      </c>
      <c r="M473" t="n" s="19">
        <v>0</v>
      </c>
    </row>
    <row r="474" hidden="0" ht="15" customHeight="1" spans="1:1">
      <c r="A474" t="str" s="17">
        <f>HYPERLINK("https://amazon.com/dp/B0118Q2FP2", "B0118Q2FP2")</f>
      </c>
      <c r="B474" t="s">
        <v>488</v>
      </c>
      <c r="C474" t="s">
        <v>15</v>
      </c>
      <c r="D474" t="n" s="18">
        <v>0</v>
      </c>
      <c r="E474" t="n" s="19">
        <v>0</v>
      </c>
      <c r="F474" t="n" s="20">
        <v>0</v>
      </c>
      <c r="G474" t="n" s="19">
        <v>0</v>
      </c>
      <c r="H474" t="n" s="21">
        <v>0</v>
      </c>
      <c r="I474" t="n" s="18">
        <v>0</v>
      </c>
      <c r="J474" t="n" s="18">
        <v>0</v>
      </c>
      <c r="K474" t="n" s="20">
        <v>0</v>
      </c>
      <c r="L474" t="n" s="21">
        <v>0</v>
      </c>
      <c r="M474" t="n" s="19">
        <v>0</v>
      </c>
    </row>
    <row r="475" hidden="0" ht="15" customHeight="1" spans="1:1">
      <c r="A475" t="str" s="17">
        <f>HYPERLINK("https://amazon.com/dp/B07W9KYT62", "B07W9KYT62")</f>
      </c>
      <c r="B475" t="s">
        <v>489</v>
      </c>
      <c r="C475" t="s">
        <v>15</v>
      </c>
      <c r="D475" t="n" s="18">
        <v>0</v>
      </c>
      <c r="E475" t="n" s="19">
        <v>0</v>
      </c>
      <c r="F475" t="n" s="20">
        <v>0</v>
      </c>
      <c r="G475" t="n" s="19">
        <v>0</v>
      </c>
      <c r="H475" t="n" s="21">
        <v>0</v>
      </c>
      <c r="I475" t="n" s="18">
        <v>0</v>
      </c>
      <c r="J475" t="n" s="18">
        <v>0</v>
      </c>
      <c r="K475" t="n" s="20">
        <v>0</v>
      </c>
      <c r="L475" t="n" s="21">
        <v>0</v>
      </c>
      <c r="M475" t="n" s="19">
        <v>0</v>
      </c>
    </row>
    <row r="476" hidden="0" ht="15" customHeight="1" spans="1:1">
      <c r="A476" t="str" s="17">
        <f>HYPERLINK("https://amazon.com/dp/B07BK96BL7", "B07BK96BL7")</f>
      </c>
      <c r="B476" t="s">
        <v>490</v>
      </c>
      <c r="C476" t="s">
        <v>15</v>
      </c>
      <c r="D476" t="n" s="18">
        <v>0</v>
      </c>
      <c r="E476" t="n" s="19">
        <v>0</v>
      </c>
      <c r="F476" t="n" s="20">
        <v>0</v>
      </c>
      <c r="G476" t="n" s="19">
        <v>0</v>
      </c>
      <c r="H476" t="n" s="21">
        <v>0</v>
      </c>
      <c r="I476" t="n" s="18">
        <v>0</v>
      </c>
      <c r="J476" t="n" s="18">
        <v>0</v>
      </c>
      <c r="K476" t="n" s="20">
        <v>0</v>
      </c>
      <c r="L476" t="n" s="21">
        <v>0</v>
      </c>
      <c r="M476" t="n" s="19">
        <v>0</v>
      </c>
    </row>
    <row r="477" hidden="0" ht="15" customHeight="1" spans="1:1">
      <c r="A477" t="str" s="17">
        <f>HYPERLINK("https://amazon.com/dp/B01M6C9DPK", "B01M6C9DPK")</f>
      </c>
      <c r="B477" t="s">
        <v>491</v>
      </c>
      <c r="C477" t="s">
        <v>15</v>
      </c>
      <c r="D477" t="n" s="18">
        <v>0</v>
      </c>
      <c r="E477" t="n" s="19">
        <v>0</v>
      </c>
      <c r="F477" t="n" s="20">
        <v>0</v>
      </c>
      <c r="G477" t="n" s="19">
        <v>0</v>
      </c>
      <c r="H477" t="n" s="21">
        <v>0</v>
      </c>
      <c r="I477" t="n" s="18">
        <v>0</v>
      </c>
      <c r="J477" t="n" s="18">
        <v>0</v>
      </c>
      <c r="K477" t="n" s="20">
        <v>0</v>
      </c>
      <c r="L477" t="n" s="21">
        <v>0</v>
      </c>
      <c r="M477" t="n" s="19">
        <v>0</v>
      </c>
    </row>
    <row r="478" hidden="0" ht="15" customHeight="1" spans="1:1">
      <c r="A478" t="str" s="17">
        <f>HYPERLINK("https://amazon.com/dp/B01IUDUJE0", "B01IUDUJE0")</f>
      </c>
      <c r="B478" t="s">
        <v>492</v>
      </c>
      <c r="C478" t="s">
        <v>15</v>
      </c>
      <c r="D478" t="n" s="18">
        <v>0</v>
      </c>
      <c r="E478" t="n" s="19">
        <v>0</v>
      </c>
      <c r="F478" t="n" s="20">
        <v>0</v>
      </c>
      <c r="G478" t="n" s="19">
        <v>0</v>
      </c>
      <c r="H478" t="n" s="21">
        <v>0</v>
      </c>
      <c r="I478" t="n" s="18">
        <v>0</v>
      </c>
      <c r="J478" t="n" s="18">
        <v>0</v>
      </c>
      <c r="K478" t="n" s="20">
        <v>0</v>
      </c>
      <c r="L478" t="n" s="21">
        <v>0</v>
      </c>
      <c r="M478" t="n" s="19">
        <v>0</v>
      </c>
    </row>
    <row r="479" hidden="0" ht="15" customHeight="1" spans="1:1">
      <c r="A479" t="str" s="17">
        <f>HYPERLINK("https://amazon.com/dp/B0C8BJ9ZLB", "B0C8BJ9ZLB")</f>
      </c>
      <c r="B479" t="s">
        <v>493</v>
      </c>
      <c r="C479" t="s">
        <v>22</v>
      </c>
      <c r="D479" t="n" s="18">
        <v>0</v>
      </c>
      <c r="E479" t="n" s="19">
        <v>0</v>
      </c>
      <c r="F479" t="n" s="20">
        <v>0</v>
      </c>
      <c r="G479" t="n" s="19">
        <v>0</v>
      </c>
      <c r="H479" t="n" s="21">
        <v>0</v>
      </c>
      <c r="I479" t="n" s="18">
        <v>0</v>
      </c>
      <c r="J479" t="n" s="18">
        <v>0</v>
      </c>
      <c r="K479" t="n" s="20">
        <v>0</v>
      </c>
      <c r="L479" t="n" s="21">
        <v>0</v>
      </c>
      <c r="M479" t="n" s="19">
        <v>0</v>
      </c>
    </row>
    <row r="480" hidden="0" ht="15" customHeight="1" spans="1:1">
      <c r="A480" t="str" s="17">
        <f>HYPERLINK("https://amazon.com/dp/B07T3687DF", "B07T3687DF")</f>
      </c>
      <c r="B480" t="s">
        <v>494</v>
      </c>
      <c r="C480" t="s">
        <v>15</v>
      </c>
      <c r="D480" t="n" s="18">
        <v>0</v>
      </c>
      <c r="E480" t="n" s="19">
        <v>0</v>
      </c>
      <c r="F480" t="n" s="20">
        <v>0</v>
      </c>
      <c r="G480" t="n" s="19">
        <v>0</v>
      </c>
      <c r="H480" t="n" s="21">
        <v>0</v>
      </c>
      <c r="I480" t="n" s="18">
        <v>0</v>
      </c>
      <c r="J480" t="n" s="18">
        <v>0</v>
      </c>
      <c r="K480" t="n" s="20">
        <v>0</v>
      </c>
      <c r="L480" t="n" s="21">
        <v>0</v>
      </c>
      <c r="M480" t="n" s="19">
        <v>0</v>
      </c>
    </row>
    <row r="481" hidden="0" ht="15" customHeight="1" spans="1:1">
      <c r="A481" t="str" s="17">
        <f>HYPERLINK("https://amazon.com/dp/B076PRM2C5", "B076PRM2C5")</f>
      </c>
      <c r="B481" t="s">
        <v>495</v>
      </c>
      <c r="C481" t="s">
        <v>15</v>
      </c>
      <c r="D481" t="n" s="18">
        <v>0</v>
      </c>
      <c r="E481" t="n" s="19">
        <v>0</v>
      </c>
      <c r="F481" t="n" s="20">
        <v>0</v>
      </c>
      <c r="G481" t="n" s="19">
        <v>0</v>
      </c>
      <c r="H481" t="n" s="21">
        <v>0</v>
      </c>
      <c r="I481" t="n" s="18">
        <v>0</v>
      </c>
      <c r="J481" t="n" s="18">
        <v>0</v>
      </c>
      <c r="K481" t="n" s="20">
        <v>0</v>
      </c>
      <c r="L481" t="n" s="21">
        <v>0</v>
      </c>
      <c r="M481" t="n" s="19">
        <v>0</v>
      </c>
    </row>
    <row r="482" hidden="0" ht="15" customHeight="1" spans="1:1">
      <c r="A482" t="str" s="17">
        <f>HYPERLINK("https://amazon.com/dp/B01MY3YI6Y", "B01MY3YI6Y")</f>
      </c>
      <c r="B482" t="s">
        <v>496</v>
      </c>
      <c r="C482" t="s">
        <v>15</v>
      </c>
      <c r="D482" t="n" s="18">
        <v>0</v>
      </c>
      <c r="E482" t="n" s="19">
        <v>0</v>
      </c>
      <c r="F482" t="n" s="20">
        <v>0</v>
      </c>
      <c r="G482" t="n" s="19">
        <v>0</v>
      </c>
      <c r="H482" t="n" s="21">
        <v>0</v>
      </c>
      <c r="I482" t="n" s="18">
        <v>0</v>
      </c>
      <c r="J482" t="n" s="18">
        <v>0</v>
      </c>
      <c r="K482" t="n" s="20">
        <v>0</v>
      </c>
      <c r="L482" t="n" s="21">
        <v>0</v>
      </c>
      <c r="M482" t="n" s="19">
        <v>0</v>
      </c>
    </row>
    <row r="483" hidden="0" ht="15" customHeight="1" spans="1:1">
      <c r="A483" t="str" s="17">
        <f>HYPERLINK("https://amazon.com/dp/B01M2CRJA5", "B01M2CRJA5")</f>
      </c>
      <c r="B483" t="s">
        <v>497</v>
      </c>
      <c r="C483" t="s">
        <v>15</v>
      </c>
      <c r="D483" t="n" s="18">
        <v>0</v>
      </c>
      <c r="E483" t="n" s="19">
        <v>0</v>
      </c>
      <c r="F483" t="n" s="20">
        <v>0</v>
      </c>
      <c r="G483" t="n" s="19">
        <v>0</v>
      </c>
      <c r="H483" t="n" s="21">
        <v>0</v>
      </c>
      <c r="I483" t="n" s="18">
        <v>0</v>
      </c>
      <c r="J483" t="n" s="18">
        <v>0</v>
      </c>
      <c r="K483" t="n" s="20">
        <v>0</v>
      </c>
      <c r="L483" t="n" s="21">
        <v>0</v>
      </c>
      <c r="M483" t="n" s="19">
        <v>0</v>
      </c>
    </row>
    <row r="484" hidden="0" ht="15" customHeight="1" spans="1:1">
      <c r="A484" t="str" s="17">
        <f>HYPERLINK("https://amazon.com/dp/B07JLWMLV2", "B07JLWMLV2")</f>
      </c>
      <c r="B484" t="s">
        <v>498</v>
      </c>
      <c r="C484" t="s">
        <v>15</v>
      </c>
      <c r="D484" t="n" s="18">
        <v>0</v>
      </c>
      <c r="E484" t="n" s="19">
        <v>0</v>
      </c>
      <c r="F484" t="n" s="20">
        <v>0</v>
      </c>
      <c r="G484" t="n" s="19">
        <v>0</v>
      </c>
      <c r="H484" t="n" s="21">
        <v>0</v>
      </c>
      <c r="I484" t="n" s="18">
        <v>0</v>
      </c>
      <c r="J484" t="n" s="18">
        <v>0</v>
      </c>
      <c r="K484" t="n" s="20">
        <v>0</v>
      </c>
      <c r="L484" t="n" s="21">
        <v>0</v>
      </c>
      <c r="M484" t="n" s="19">
        <v>0</v>
      </c>
    </row>
    <row r="485" hidden="0" ht="15" customHeight="1" spans="1:1">
      <c r="A485" t="str" s="17">
        <f>HYPERLINK("https://amazon.com/dp/B08FYJKGSX", "B08FYJKGSX")</f>
      </c>
      <c r="B485" t="s">
        <v>499</v>
      </c>
      <c r="C485" t="s">
        <v>15</v>
      </c>
      <c r="D485" t="n" s="18">
        <v>0</v>
      </c>
      <c r="E485" t="n" s="19">
        <v>0</v>
      </c>
      <c r="F485" t="n" s="20">
        <v>0</v>
      </c>
      <c r="G485" t="n" s="19">
        <v>0</v>
      </c>
      <c r="H485" t="n" s="21">
        <v>0</v>
      </c>
      <c r="I485" t="n" s="18">
        <v>0</v>
      </c>
      <c r="J485" t="n" s="18">
        <v>0</v>
      </c>
      <c r="K485" t="n" s="20">
        <v>0</v>
      </c>
      <c r="L485" t="n" s="21">
        <v>0</v>
      </c>
      <c r="M485" t="n" s="19">
        <v>0</v>
      </c>
    </row>
    <row r="486" hidden="0" ht="15" customHeight="1" spans="1:1">
      <c r="A486" t="str" s="17">
        <f>HYPERLINK("https://amazon.com/dp/B0F672M7HH", "B0F672M7HH")</f>
      </c>
      <c r="B486" t="s">
        <v>500</v>
      </c>
      <c r="C486" t="s">
        <v>15</v>
      </c>
      <c r="D486" t="n" s="18">
        <v>0</v>
      </c>
      <c r="E486" t="n" s="19">
        <v>0</v>
      </c>
      <c r="F486" t="n" s="20">
        <v>0</v>
      </c>
      <c r="G486" t="n" s="19">
        <v>0</v>
      </c>
      <c r="H486" t="n" s="21">
        <v>0</v>
      </c>
      <c r="I486" t="n" s="18">
        <v>0</v>
      </c>
      <c r="J486" t="n" s="18">
        <v>0</v>
      </c>
      <c r="K486" t="n" s="20">
        <v>0</v>
      </c>
      <c r="L486" t="n" s="21">
        <v>0</v>
      </c>
      <c r="M486" t="n" s="19">
        <v>0</v>
      </c>
    </row>
    <row r="487" hidden="0" ht="15" customHeight="1" spans="1:1">
      <c r="A487" t="str" s="17">
        <f>HYPERLINK("https://amazon.com/dp/B004UC9V8Q", "B004UC9V8Q")</f>
      </c>
      <c r="B487" t="s">
        <v>501</v>
      </c>
      <c r="C487" t="s">
        <v>15</v>
      </c>
      <c r="D487" t="n" s="18">
        <v>0</v>
      </c>
      <c r="E487" t="n" s="19">
        <v>0</v>
      </c>
      <c r="F487" t="n" s="20">
        <v>0</v>
      </c>
      <c r="G487" t="n" s="19">
        <v>0</v>
      </c>
      <c r="H487" t="n" s="21">
        <v>0</v>
      </c>
      <c r="I487" t="n" s="18">
        <v>0</v>
      </c>
      <c r="J487" t="n" s="18">
        <v>0</v>
      </c>
      <c r="K487" t="n" s="20">
        <v>0</v>
      </c>
      <c r="L487" t="n" s="21">
        <v>0</v>
      </c>
      <c r="M487" t="n" s="19">
        <v>0</v>
      </c>
    </row>
    <row r="488" hidden="0" ht="15" customHeight="1" spans="1:1">
      <c r="A488" t="str" s="17">
        <f>HYPERLINK("https://amazon.com/dp/B01N317L61", "B01N317L61")</f>
      </c>
      <c r="B488" t="s">
        <v>502</v>
      </c>
      <c r="C488" t="s">
        <v>15</v>
      </c>
      <c r="D488" t="n" s="18">
        <v>0</v>
      </c>
      <c r="E488" t="n" s="19">
        <v>0</v>
      </c>
      <c r="F488" t="n" s="20">
        <v>0</v>
      </c>
      <c r="G488" t="n" s="19">
        <v>0</v>
      </c>
      <c r="H488" t="n" s="21">
        <v>0</v>
      </c>
      <c r="I488" t="n" s="18">
        <v>0</v>
      </c>
      <c r="J488" t="n" s="18">
        <v>0</v>
      </c>
      <c r="K488" t="n" s="20">
        <v>0</v>
      </c>
      <c r="L488" t="n" s="21">
        <v>0</v>
      </c>
      <c r="M488" t="n" s="19">
        <v>0</v>
      </c>
    </row>
    <row r="489" hidden="0" ht="15" customHeight="1" spans="1:1">
      <c r="A489" t="str" s="17">
        <f>HYPERLINK("https://amazon.com/dp/B0FGXV92FB", "B0FGXV92FB")</f>
      </c>
      <c r="B489" t="s">
        <v>503</v>
      </c>
      <c r="C489" t="s">
        <v>15</v>
      </c>
      <c r="D489" t="n" s="18">
        <v>0</v>
      </c>
      <c r="E489" t="n" s="19">
        <v>0</v>
      </c>
      <c r="F489" t="n" s="20">
        <v>0</v>
      </c>
      <c r="G489" t="n" s="19">
        <v>0</v>
      </c>
      <c r="H489" t="n" s="21">
        <v>0</v>
      </c>
      <c r="I489" t="n" s="18">
        <v>0</v>
      </c>
      <c r="J489" t="n" s="18">
        <v>0</v>
      </c>
      <c r="K489" t="n" s="20">
        <v>0</v>
      </c>
      <c r="L489" t="n" s="21">
        <v>0</v>
      </c>
      <c r="M489" t="n" s="19">
        <v>0</v>
      </c>
    </row>
    <row r="490" hidden="0" ht="15" customHeight="1" spans="1:1">
      <c r="A490" t="str" s="17">
        <f>HYPERLINK("https://amazon.com/dp/B07VC31Q6S", "B07VC31Q6S")</f>
      </c>
      <c r="B490" t="s">
        <v>504</v>
      </c>
      <c r="C490" t="s">
        <v>15</v>
      </c>
      <c r="D490" t="n" s="18">
        <v>0</v>
      </c>
      <c r="E490" t="n" s="19">
        <v>0</v>
      </c>
      <c r="F490" t="n" s="20">
        <v>0</v>
      </c>
      <c r="G490" t="n" s="19">
        <v>0</v>
      </c>
      <c r="H490" t="n" s="21">
        <v>0</v>
      </c>
      <c r="I490" t="n" s="18">
        <v>0</v>
      </c>
      <c r="J490" t="n" s="18">
        <v>0</v>
      </c>
      <c r="K490" t="n" s="20">
        <v>0</v>
      </c>
      <c r="L490" t="n" s="21">
        <v>0</v>
      </c>
      <c r="M490" t="n" s="19">
        <v>0</v>
      </c>
    </row>
    <row r="491" hidden="0" ht="15" customHeight="1" spans="1:1">
      <c r="A491" t="str" s="17">
        <f>HYPERLINK("https://amazon.com/dp/B0C1NMYQ3W", "B0C1NMYQ3W")</f>
      </c>
      <c r="B491" t="s">
        <v>505</v>
      </c>
      <c r="C491" t="s">
        <v>22</v>
      </c>
      <c r="D491" t="n" s="18">
        <v>0</v>
      </c>
      <c r="E491" t="n" s="19">
        <v>0</v>
      </c>
      <c r="F491" t="n" s="20">
        <v>0</v>
      </c>
      <c r="G491" t="n" s="19">
        <v>292</v>
      </c>
      <c r="H491" t="n" s="21">
        <v>0</v>
      </c>
      <c r="I491" t="n" s="18">
        <v>0</v>
      </c>
      <c r="J491" t="n" s="18">
        <v>0</v>
      </c>
      <c r="K491" t="n" s="20">
        <v>0</v>
      </c>
      <c r="L491" t="n" s="21">
        <v>0</v>
      </c>
      <c r="M491" t="n" s="19">
        <v>0</v>
      </c>
    </row>
    <row r="492" hidden="0" ht="15" customHeight="1" spans="1:1">
      <c r="A492" t="str" s="17">
        <f>HYPERLINK("https://amazon.com/dp/B0C4F1K568", "B0C4F1K568")</f>
      </c>
      <c r="B492" t="s">
        <v>506</v>
      </c>
      <c r="C492" t="s">
        <v>22</v>
      </c>
      <c r="D492" t="n" s="18">
        <v>0</v>
      </c>
      <c r="E492" t="n" s="19">
        <v>0</v>
      </c>
      <c r="F492" t="n" s="20">
        <v>0</v>
      </c>
      <c r="G492" t="n" s="19">
        <v>0</v>
      </c>
      <c r="H492" t="n" s="21">
        <v>0</v>
      </c>
      <c r="I492" t="n" s="18">
        <v>0</v>
      </c>
      <c r="J492" t="n" s="18">
        <v>0</v>
      </c>
      <c r="K492" t="n" s="20">
        <v>0</v>
      </c>
      <c r="L492" t="n" s="21">
        <v>0</v>
      </c>
      <c r="M492" t="n" s="19">
        <v>0</v>
      </c>
    </row>
    <row r="493" hidden="0" ht="15" customHeight="1" spans="1:1">
      <c r="A493" t="str" s="17">
        <f>HYPERLINK("https://amazon.com/dp/B0054TXRVQ", "B0054TXRVQ")</f>
      </c>
      <c r="B493" t="s">
        <v>507</v>
      </c>
      <c r="C493" t="s">
        <v>15</v>
      </c>
      <c r="D493" t="n" s="18">
        <v>0</v>
      </c>
      <c r="E493" t="n" s="19">
        <v>0</v>
      </c>
      <c r="F493" t="n" s="20">
        <v>0</v>
      </c>
      <c r="G493" t="n" s="19">
        <v>0</v>
      </c>
      <c r="H493" t="n" s="21">
        <v>0</v>
      </c>
      <c r="I493" t="n" s="18">
        <v>0</v>
      </c>
      <c r="J493" t="n" s="18">
        <v>0</v>
      </c>
      <c r="K493" t="n" s="20">
        <v>0</v>
      </c>
      <c r="L493" t="n" s="21">
        <v>0</v>
      </c>
      <c r="M493" t="n" s="19">
        <v>0</v>
      </c>
    </row>
    <row r="494" hidden="0" ht="15" customHeight="1" spans="1:1">
      <c r="A494" t="str" s="17">
        <f>HYPERLINK("https://amazon.com/dp/B00RK5VU5M", "B00RK5VU5M")</f>
      </c>
      <c r="B494" t="s">
        <v>508</v>
      </c>
      <c r="C494" t="s">
        <v>15</v>
      </c>
      <c r="D494" t="n" s="18">
        <v>0</v>
      </c>
      <c r="E494" t="n" s="19">
        <v>0</v>
      </c>
      <c r="F494" t="n" s="20">
        <v>0</v>
      </c>
      <c r="G494" t="n" s="19">
        <v>0</v>
      </c>
      <c r="H494" t="n" s="21">
        <v>0</v>
      </c>
      <c r="I494" t="n" s="18">
        <v>0</v>
      </c>
      <c r="J494" t="n" s="18">
        <v>0</v>
      </c>
      <c r="K494" t="n" s="20">
        <v>0</v>
      </c>
      <c r="L494" t="n" s="21">
        <v>0</v>
      </c>
      <c r="M494" t="n" s="19">
        <v>0</v>
      </c>
    </row>
    <row r="495" hidden="0" ht="15" customHeight="1" spans="1:1">
      <c r="A495" t="str" s="17">
        <f>HYPERLINK("https://amazon.com/dp/B0B3R7H4J2", "B0B3R7H4J2")</f>
      </c>
      <c r="B495" t="s">
        <v>509</v>
      </c>
      <c r="C495" t="s">
        <v>15</v>
      </c>
      <c r="D495" t="n" s="18">
        <v>0</v>
      </c>
      <c r="E495" t="n" s="19">
        <v>0</v>
      </c>
      <c r="F495" t="n" s="20">
        <v>0</v>
      </c>
      <c r="G495" t="n" s="19">
        <v>0</v>
      </c>
      <c r="H495" t="n" s="21">
        <v>0</v>
      </c>
      <c r="I495" t="n" s="18">
        <v>0</v>
      </c>
      <c r="J495" t="n" s="18">
        <v>0</v>
      </c>
      <c r="K495" t="n" s="20">
        <v>0</v>
      </c>
      <c r="L495" t="n" s="21">
        <v>0</v>
      </c>
      <c r="M495" t="n" s="19">
        <v>0</v>
      </c>
    </row>
    <row r="496" hidden="0" ht="15" customHeight="1" spans="1:1">
      <c r="A496" t="str" s="17">
        <f>HYPERLINK("https://amazon.com/dp/B0CTHCXJ4Y", "B0CTHCXJ4Y")</f>
      </c>
      <c r="B496" t="s">
        <v>510</v>
      </c>
      <c r="C496" t="s">
        <v>22</v>
      </c>
      <c r="D496" t="n" s="18">
        <v>0</v>
      </c>
      <c r="E496" t="n" s="19">
        <v>0</v>
      </c>
      <c r="F496" t="n" s="20">
        <v>0</v>
      </c>
      <c r="G496" t="n" s="19">
        <v>0</v>
      </c>
      <c r="H496" t="n" s="21">
        <v>0</v>
      </c>
      <c r="I496" t="n" s="18">
        <v>0</v>
      </c>
      <c r="J496" t="n" s="18">
        <v>0</v>
      </c>
      <c r="K496" t="n" s="20">
        <v>0</v>
      </c>
      <c r="L496" t="n" s="21">
        <v>0</v>
      </c>
      <c r="M496" t="n" s="19">
        <v>0</v>
      </c>
    </row>
    <row r="497" hidden="0" ht="15" customHeight="1" spans="1:1">
      <c r="A497" t="str" s="17">
        <f>HYPERLINK("https://amazon.com/dp/B099F3P594", "B099F3P594")</f>
      </c>
      <c r="B497" t="s">
        <v>511</v>
      </c>
      <c r="C497" t="s">
        <v>15</v>
      </c>
      <c r="D497" t="n" s="18">
        <v>0</v>
      </c>
      <c r="E497" t="n" s="19">
        <v>0</v>
      </c>
      <c r="F497" t="n" s="20">
        <v>0</v>
      </c>
      <c r="G497" t="n" s="19">
        <v>0</v>
      </c>
      <c r="H497" t="n" s="21">
        <v>0</v>
      </c>
      <c r="I497" t="n" s="18">
        <v>0</v>
      </c>
      <c r="J497" t="n" s="18">
        <v>0</v>
      </c>
      <c r="K497" t="n" s="20">
        <v>0</v>
      </c>
      <c r="L497" t="n" s="21">
        <v>0</v>
      </c>
      <c r="M497" t="n" s="19">
        <v>0</v>
      </c>
    </row>
    <row r="498" hidden="0" ht="15" customHeight="1" spans="1:1">
      <c r="A498" t="str" s="17">
        <f>HYPERLINK("https://amazon.com/dp/B0F88DDV7T", "B0F88DDV7T")</f>
      </c>
      <c r="B498" t="s">
        <v>512</v>
      </c>
      <c r="C498" t="s">
        <v>15</v>
      </c>
      <c r="D498" t="n" s="18">
        <v>0</v>
      </c>
      <c r="E498" t="n" s="19">
        <v>0</v>
      </c>
      <c r="F498" t="n" s="20">
        <v>0</v>
      </c>
      <c r="G498" t="n" s="19">
        <v>0</v>
      </c>
      <c r="H498" t="n" s="21">
        <v>0</v>
      </c>
      <c r="I498" t="n" s="18">
        <v>0</v>
      </c>
      <c r="J498" t="n" s="18">
        <v>0</v>
      </c>
      <c r="K498" t="n" s="20">
        <v>0</v>
      </c>
      <c r="L498" t="n" s="21">
        <v>0</v>
      </c>
      <c r="M498" t="n" s="19">
        <v>0</v>
      </c>
    </row>
    <row r="499" hidden="0" ht="15" customHeight="1" spans="1:1">
      <c r="A499" t="str" s="17">
        <f>HYPERLINK("https://amazon.com/dp/B071DP327B", "B071DP327B")</f>
      </c>
      <c r="B499" t="s">
        <v>513</v>
      </c>
      <c r="C499" t="s">
        <v>15</v>
      </c>
      <c r="D499" t="n" s="18">
        <v>0</v>
      </c>
      <c r="E499" t="n" s="19">
        <v>0</v>
      </c>
      <c r="F499" t="n" s="20">
        <v>0</v>
      </c>
      <c r="G499" t="n" s="19">
        <v>0</v>
      </c>
      <c r="H499" t="n" s="21">
        <v>0</v>
      </c>
      <c r="I499" t="n" s="18">
        <v>0</v>
      </c>
      <c r="J499" t="n" s="18">
        <v>0</v>
      </c>
      <c r="K499" t="n" s="20">
        <v>0</v>
      </c>
      <c r="L499" t="n" s="21">
        <v>0</v>
      </c>
      <c r="M499" t="n" s="19">
        <v>0</v>
      </c>
    </row>
    <row r="500" hidden="0" ht="15" customHeight="1" spans="1:1">
      <c r="A500" t="str" s="17">
        <f>HYPERLINK("https://amazon.com/dp/B00EYXKTDM", "B00EYXKTDM")</f>
      </c>
      <c r="B500" t="s">
        <v>514</v>
      </c>
      <c r="C500" t="s">
        <v>15</v>
      </c>
      <c r="D500" t="n" s="18">
        <v>0</v>
      </c>
      <c r="E500" t="n" s="19">
        <v>0</v>
      </c>
      <c r="F500" t="n" s="20">
        <v>0</v>
      </c>
      <c r="G500" t="n" s="19">
        <v>0</v>
      </c>
      <c r="H500" t="n" s="21">
        <v>0</v>
      </c>
      <c r="I500" t="n" s="18">
        <v>0</v>
      </c>
      <c r="J500" t="n" s="18">
        <v>0</v>
      </c>
      <c r="K500" t="n" s="20">
        <v>0</v>
      </c>
      <c r="L500" t="n" s="21">
        <v>0</v>
      </c>
      <c r="M500" t="n" s="19">
        <v>0</v>
      </c>
    </row>
    <row r="501" hidden="0" ht="15" customHeight="1" spans="1:1">
      <c r="A501" t="str" s="17">
        <f>HYPERLINK("https://amazon.com/dp/B0D8B79ZCP", "B0D8B79ZCP")</f>
      </c>
      <c r="B501" t="s">
        <v>515</v>
      </c>
      <c r="C501" t="s">
        <v>22</v>
      </c>
      <c r="D501" t="n" s="18">
        <v>0</v>
      </c>
      <c r="E501" t="n" s="19">
        <v>0</v>
      </c>
      <c r="F501" t="n" s="20">
        <v>0</v>
      </c>
      <c r="G501" t="n" s="19">
        <v>24</v>
      </c>
      <c r="H501" t="n" s="21">
        <v>0</v>
      </c>
      <c r="I501" t="n" s="18">
        <v>0</v>
      </c>
      <c r="J501" t="n" s="18">
        <v>0</v>
      </c>
      <c r="K501" t="n" s="20">
        <v>0</v>
      </c>
      <c r="L501" t="n" s="21">
        <v>0</v>
      </c>
      <c r="M501" t="n" s="19">
        <v>0</v>
      </c>
    </row>
    <row r="502" hidden="0" ht="15" customHeight="1" spans="1:1">
      <c r="A502" t="str" s="17">
        <f>HYPERLINK("https://amazon.com/dp/B0C5Y46J1W", "B0C5Y46J1W")</f>
      </c>
      <c r="B502" t="s">
        <v>516</v>
      </c>
      <c r="C502" t="s">
        <v>15</v>
      </c>
      <c r="D502" t="n" s="18">
        <v>0</v>
      </c>
      <c r="E502" t="n" s="19">
        <v>0</v>
      </c>
      <c r="F502" t="n" s="20">
        <v>0</v>
      </c>
      <c r="G502" t="n" s="19">
        <v>0</v>
      </c>
      <c r="H502" t="n" s="21">
        <v>0</v>
      </c>
      <c r="I502" t="n" s="18">
        <v>0</v>
      </c>
      <c r="J502" t="n" s="18">
        <v>0</v>
      </c>
      <c r="K502" t="n" s="20">
        <v>0</v>
      </c>
      <c r="L502" t="n" s="21">
        <v>0</v>
      </c>
      <c r="M502" t="n" s="19">
        <v>0</v>
      </c>
    </row>
    <row r="503" hidden="0" ht="15" customHeight="1" spans="1:1">
      <c r="A503" t="str" s="17">
        <f>HYPERLINK("https://amazon.com/dp/B0BD5VZNCQ", "B0BD5VZNCQ")</f>
      </c>
      <c r="B503" t="s">
        <v>517</v>
      </c>
      <c r="C503" t="s">
        <v>15</v>
      </c>
      <c r="D503" t="n" s="18">
        <v>0</v>
      </c>
      <c r="E503" t="n" s="19">
        <v>0</v>
      </c>
      <c r="F503" t="n" s="20">
        <v>0</v>
      </c>
      <c r="G503" t="n" s="19">
        <v>0</v>
      </c>
      <c r="H503" t="n" s="21">
        <v>0</v>
      </c>
      <c r="I503" t="n" s="18">
        <v>0</v>
      </c>
      <c r="J503" t="n" s="18">
        <v>0</v>
      </c>
      <c r="K503" t="n" s="20">
        <v>0</v>
      </c>
      <c r="L503" t="n" s="21">
        <v>0</v>
      </c>
      <c r="M503" t="n" s="19">
        <v>0</v>
      </c>
    </row>
    <row r="504" hidden="0" ht="15" customHeight="1" spans="1:1">
      <c r="A504" t="str" s="17">
        <f>HYPERLINK("https://amazon.com/dp/B07FY5X9P6", "B07FY5X9P6")</f>
      </c>
      <c r="B504" t="s">
        <v>518</v>
      </c>
      <c r="C504" t="s">
        <v>15</v>
      </c>
      <c r="D504" t="n" s="18">
        <v>0</v>
      </c>
      <c r="E504" t="n" s="19">
        <v>0</v>
      </c>
      <c r="F504" t="n" s="20">
        <v>0</v>
      </c>
      <c r="G504" t="n" s="19">
        <v>0</v>
      </c>
      <c r="H504" t="n" s="21">
        <v>0</v>
      </c>
      <c r="I504" t="n" s="18">
        <v>0</v>
      </c>
      <c r="J504" t="n" s="18">
        <v>0</v>
      </c>
      <c r="K504" t="n" s="20">
        <v>0</v>
      </c>
      <c r="L504" t="n" s="21">
        <v>0</v>
      </c>
      <c r="M504" t="n" s="19">
        <v>0</v>
      </c>
    </row>
    <row r="505" hidden="0" ht="15" customHeight="1" spans="1:1">
      <c r="A505" t="str" s="17">
        <f>HYPERLINK("https://amazon.com/dp/B077HT9WTW", "B077HT9WTW")</f>
      </c>
      <c r="B505" t="s">
        <v>519</v>
      </c>
      <c r="C505" t="s">
        <v>15</v>
      </c>
      <c r="D505" t="n" s="18">
        <v>0</v>
      </c>
      <c r="E505" t="n" s="19">
        <v>0</v>
      </c>
      <c r="F505" t="n" s="20">
        <v>0</v>
      </c>
      <c r="G505" t="n" s="19">
        <v>0</v>
      </c>
      <c r="H505" t="n" s="21">
        <v>0</v>
      </c>
      <c r="I505" t="n" s="18">
        <v>0</v>
      </c>
      <c r="J505" t="n" s="18">
        <v>0</v>
      </c>
      <c r="K505" t="n" s="20">
        <v>0</v>
      </c>
      <c r="L505" t="n" s="21">
        <v>0</v>
      </c>
      <c r="M505" t="n" s="19">
        <v>0</v>
      </c>
    </row>
    <row r="506" hidden="0" ht="15" customHeight="1" spans="1:1">
      <c r="A506" t="str" s="17">
        <f>HYPERLINK("https://amazon.com/dp/B07MDH8HV4", "B07MDH8HV4")</f>
      </c>
      <c r="B506" t="s">
        <v>520</v>
      </c>
      <c r="C506" t="s">
        <v>15</v>
      </c>
      <c r="D506" t="n" s="18">
        <v>0</v>
      </c>
      <c r="E506" t="n" s="19">
        <v>0</v>
      </c>
      <c r="F506" t="n" s="20">
        <v>0</v>
      </c>
      <c r="G506" t="n" s="19">
        <v>0</v>
      </c>
      <c r="H506" t="n" s="21">
        <v>0</v>
      </c>
      <c r="I506" t="n" s="18">
        <v>0</v>
      </c>
      <c r="J506" t="n" s="18">
        <v>0</v>
      </c>
      <c r="K506" t="n" s="20">
        <v>0</v>
      </c>
      <c r="L506" t="n" s="21">
        <v>0</v>
      </c>
      <c r="M506" t="n" s="19">
        <v>0</v>
      </c>
    </row>
    <row r="507" hidden="0" ht="15" customHeight="1" spans="1:1">
      <c r="A507" t="str" s="17">
        <f>HYPERLINK("https://amazon.com/dp/B0CVR977G2", "B0CVR977G2")</f>
      </c>
      <c r="B507" t="s">
        <v>521</v>
      </c>
      <c r="C507" t="s">
        <v>22</v>
      </c>
      <c r="D507" t="n" s="18">
        <v>0</v>
      </c>
      <c r="E507" t="n" s="19">
        <v>0</v>
      </c>
      <c r="F507" t="n" s="20">
        <v>0</v>
      </c>
      <c r="G507" t="n" s="19">
        <v>0</v>
      </c>
      <c r="H507" t="n" s="21">
        <v>0</v>
      </c>
      <c r="I507" t="n" s="18">
        <v>0</v>
      </c>
      <c r="J507" t="n" s="18">
        <v>0</v>
      </c>
      <c r="K507" t="n" s="20">
        <v>0</v>
      </c>
      <c r="L507" t="n" s="21">
        <v>0</v>
      </c>
      <c r="M507" t="n" s="19">
        <v>0</v>
      </c>
    </row>
    <row r="508" hidden="0" ht="15" customHeight="1" spans="1:1">
      <c r="A508" t="str" s="17">
        <f>HYPERLINK("https://amazon.com/dp/B0FKSGV6C7", "B0FKSGV6C7")</f>
      </c>
      <c r="B508" t="s">
        <v>522</v>
      </c>
      <c r="C508" t="s">
        <v>45</v>
      </c>
      <c r="D508" t="n" s="18">
        <v>0</v>
      </c>
      <c r="E508" t="n" s="19">
        <v>0</v>
      </c>
      <c r="F508" t="n" s="20">
        <v>0</v>
      </c>
      <c r="G508" t="n" s="19">
        <v>0</v>
      </c>
      <c r="H508" t="n" s="21">
        <v>0</v>
      </c>
      <c r="I508" t="n" s="18">
        <v>0</v>
      </c>
      <c r="J508" t="n" s="18">
        <v>0</v>
      </c>
      <c r="K508" t="n" s="20">
        <v>0</v>
      </c>
      <c r="L508" t="n" s="21">
        <v>0</v>
      </c>
      <c r="M508" t="n" s="19">
        <v>0</v>
      </c>
    </row>
    <row r="509" hidden="0" ht="15" customHeight="1" spans="1:1">
      <c r="A509" t="str" s="17">
        <f>HYPERLINK("https://amazon.com/dp/B08P7Q2KGQ", "B08P7Q2KGQ")</f>
      </c>
      <c r="B509" t="s">
        <v>523</v>
      </c>
      <c r="C509" t="s">
        <v>15</v>
      </c>
      <c r="D509" t="n" s="18">
        <v>0</v>
      </c>
      <c r="E509" t="n" s="19">
        <v>0</v>
      </c>
      <c r="F509" t="n" s="20">
        <v>0</v>
      </c>
      <c r="G509" t="n" s="19">
        <v>0</v>
      </c>
      <c r="H509" t="n" s="21">
        <v>0</v>
      </c>
      <c r="I509" t="n" s="18">
        <v>0</v>
      </c>
      <c r="J509" t="n" s="18">
        <v>0</v>
      </c>
      <c r="K509" t="n" s="20">
        <v>0</v>
      </c>
      <c r="L509" t="n" s="21">
        <v>0</v>
      </c>
      <c r="M509" t="n" s="19">
        <v>0</v>
      </c>
    </row>
    <row r="510" hidden="0" ht="15" customHeight="1" spans="1:1">
      <c r="A510" t="str" s="17">
        <f>HYPERLINK("https://amazon.com/dp/B0FGXQZJ5H", "B0FGXQZJ5H")</f>
      </c>
      <c r="B510" t="s">
        <v>524</v>
      </c>
      <c r="C510" t="s">
        <v>15</v>
      </c>
      <c r="D510" t="n" s="18">
        <v>0</v>
      </c>
      <c r="E510" t="n" s="19">
        <v>0</v>
      </c>
      <c r="F510" t="n" s="20">
        <v>0</v>
      </c>
      <c r="G510" t="n" s="19">
        <v>23</v>
      </c>
      <c r="H510" t="n" s="21">
        <v>0</v>
      </c>
      <c r="I510" t="n" s="18">
        <v>0</v>
      </c>
      <c r="J510" t="n" s="18">
        <v>0</v>
      </c>
      <c r="K510" t="n" s="20">
        <v>0</v>
      </c>
      <c r="L510" t="n" s="21">
        <v>0</v>
      </c>
      <c r="M510" t="n" s="19">
        <v>0</v>
      </c>
    </row>
    <row r="511" hidden="0" ht="15" customHeight="1" spans="1:1">
      <c r="A511" t="str" s="17">
        <f>HYPERLINK("https://amazon.com/dp/B01NARHG7X", "B01NARHG7X")</f>
      </c>
      <c r="B511" t="s">
        <v>525</v>
      </c>
      <c r="C511" t="s">
        <v>45</v>
      </c>
      <c r="D511" t="n" s="18">
        <v>0</v>
      </c>
      <c r="E511" t="n" s="19">
        <v>0</v>
      </c>
      <c r="F511" t="n" s="20">
        <v>0</v>
      </c>
      <c r="G511" t="n" s="19">
        <v>0</v>
      </c>
      <c r="H511" t="n" s="21">
        <v>0</v>
      </c>
      <c r="I511" t="n" s="18">
        <v>0</v>
      </c>
      <c r="J511" t="n" s="18">
        <v>0</v>
      </c>
      <c r="K511" t="n" s="20">
        <v>0</v>
      </c>
      <c r="L511" t="n" s="21">
        <v>0</v>
      </c>
      <c r="M511" t="n" s="19">
        <v>0</v>
      </c>
    </row>
    <row r="512" hidden="0" ht="15" customHeight="1" spans="1:1">
      <c r="A512" t="str" s="17">
        <f>HYPERLINK("https://amazon.com/dp/B0CQLHSSCJ", "B0CQLHSSCJ")</f>
      </c>
      <c r="B512" t="s">
        <v>526</v>
      </c>
      <c r="C512" t="s">
        <v>45</v>
      </c>
      <c r="D512" t="n" s="18">
        <v>0</v>
      </c>
      <c r="E512" t="n" s="19">
        <v>0</v>
      </c>
      <c r="F512" t="n" s="20">
        <v>0</v>
      </c>
      <c r="G512" t="n" s="19">
        <v>0</v>
      </c>
      <c r="H512" t="n" s="21">
        <v>0</v>
      </c>
      <c r="I512" t="n" s="18">
        <v>0</v>
      </c>
      <c r="J512" t="n" s="18">
        <v>0</v>
      </c>
      <c r="K512" t="n" s="20">
        <v>0</v>
      </c>
      <c r="L512" t="n" s="21">
        <v>0</v>
      </c>
      <c r="M512" t="n" s="19">
        <v>0</v>
      </c>
    </row>
    <row r="513" hidden="0" ht="15" customHeight="1" spans="1:1">
      <c r="A513" t="str" s="17">
        <f>HYPERLINK("https://amazon.com/dp/B07LFJJM2S", "B07LFJJM2S")</f>
      </c>
      <c r="B513" t="s">
        <v>527</v>
      </c>
      <c r="C513" t="s">
        <v>15</v>
      </c>
      <c r="D513" t="n" s="18">
        <v>0</v>
      </c>
      <c r="E513" t="n" s="19">
        <v>0</v>
      </c>
      <c r="F513" t="n" s="20">
        <v>0</v>
      </c>
      <c r="G513" t="n" s="19">
        <v>0</v>
      </c>
      <c r="H513" t="n" s="21">
        <v>0</v>
      </c>
      <c r="I513" t="n" s="18">
        <v>0</v>
      </c>
      <c r="J513" t="n" s="18">
        <v>0</v>
      </c>
      <c r="K513" t="n" s="20">
        <v>0</v>
      </c>
      <c r="L513" t="n" s="21">
        <v>0</v>
      </c>
      <c r="M513" t="n" s="19">
        <v>0</v>
      </c>
    </row>
    <row r="514" hidden="0" ht="15" customHeight="1" spans="1:1">
      <c r="A514" t="str" s="17">
        <f>HYPERLINK("https://amazon.com/dp/B01H2D2CJO", "B01H2D2CJO")</f>
      </c>
      <c r="B514" t="s">
        <v>528</v>
      </c>
      <c r="C514" t="s">
        <v>15</v>
      </c>
      <c r="D514" t="n" s="18">
        <v>0</v>
      </c>
      <c r="E514" t="n" s="19">
        <v>0</v>
      </c>
      <c r="F514" t="n" s="20">
        <v>0</v>
      </c>
      <c r="G514" t="n" s="19">
        <v>0</v>
      </c>
      <c r="H514" t="n" s="21">
        <v>0</v>
      </c>
      <c r="I514" t="n" s="18">
        <v>0</v>
      </c>
      <c r="J514" t="n" s="18">
        <v>0</v>
      </c>
      <c r="K514" t="n" s="20">
        <v>0</v>
      </c>
      <c r="L514" t="n" s="21">
        <v>0</v>
      </c>
      <c r="M514" t="n" s="19">
        <v>0</v>
      </c>
    </row>
    <row r="515" hidden="0" ht="15" customHeight="1" spans="1:1">
      <c r="A515" t="str" s="17">
        <f>HYPERLINK("https://amazon.com/dp/B0BNYSN3WZ", "B0BNYSN3WZ")</f>
      </c>
      <c r="B515" t="s">
        <v>529</v>
      </c>
      <c r="C515" t="s">
        <v>22</v>
      </c>
      <c r="D515" t="n" s="18">
        <v>0</v>
      </c>
      <c r="E515" t="n" s="19">
        <v>0</v>
      </c>
      <c r="F515" t="n" s="20">
        <v>0</v>
      </c>
      <c r="G515" t="n" s="19">
        <v>0</v>
      </c>
      <c r="H515" t="n" s="21">
        <v>0</v>
      </c>
      <c r="I515" t="n" s="18">
        <v>0</v>
      </c>
      <c r="J515" t="n" s="18">
        <v>0</v>
      </c>
      <c r="K515" t="n" s="20">
        <v>0</v>
      </c>
      <c r="L515" t="n" s="21">
        <v>0</v>
      </c>
      <c r="M515" t="n" s="19">
        <v>0</v>
      </c>
    </row>
    <row r="516" hidden="0" ht="15" customHeight="1" spans="1:1">
      <c r="A516" t="str" s="17">
        <f>HYPERLINK("https://amazon.com/dp/B0DHKQXMF9", "B0DHKQXMF9")</f>
      </c>
      <c r="B516" t="s">
        <v>530</v>
      </c>
      <c r="C516" t="s">
        <v>22</v>
      </c>
      <c r="D516" t="n" s="18">
        <v>0</v>
      </c>
      <c r="E516" t="n" s="19">
        <v>0</v>
      </c>
      <c r="F516" t="n" s="20">
        <v>0</v>
      </c>
      <c r="G516" t="n" s="19">
        <v>0</v>
      </c>
      <c r="H516" t="n" s="21">
        <v>0</v>
      </c>
      <c r="I516" t="n" s="18">
        <v>0</v>
      </c>
      <c r="J516" t="n" s="18">
        <v>0</v>
      </c>
      <c r="K516" t="n" s="20">
        <v>0</v>
      </c>
      <c r="L516" t="n" s="21">
        <v>0</v>
      </c>
      <c r="M516" t="n" s="19">
        <v>0</v>
      </c>
    </row>
    <row r="517" hidden="0" ht="15" customHeight="1" spans="1:1">
      <c r="A517" t="str" s="17">
        <f>HYPERLINK("https://amazon.com/dp/B07TT5752B", "B07TT5752B")</f>
      </c>
      <c r="B517" t="s">
        <v>531</v>
      </c>
      <c r="C517" t="s">
        <v>15</v>
      </c>
      <c r="D517" t="n" s="18">
        <v>0</v>
      </c>
      <c r="E517" t="n" s="19">
        <v>0</v>
      </c>
      <c r="F517" t="n" s="20">
        <v>0</v>
      </c>
      <c r="G517" t="n" s="19">
        <v>0</v>
      </c>
      <c r="H517" t="n" s="21">
        <v>0</v>
      </c>
      <c r="I517" t="n" s="18">
        <v>0</v>
      </c>
      <c r="J517" t="n" s="18">
        <v>0</v>
      </c>
      <c r="K517" t="n" s="20">
        <v>0</v>
      </c>
      <c r="L517" t="n" s="21">
        <v>0</v>
      </c>
      <c r="M517" t="n" s="19">
        <v>0</v>
      </c>
    </row>
    <row r="518" hidden="0" ht="15" customHeight="1" spans="1:1">
      <c r="A518" t="str" s="17">
        <f>HYPERLINK("https://amazon.com/dp/B003WK62OS", "B003WK62OS")</f>
      </c>
      <c r="B518" t="s">
        <v>532</v>
      </c>
      <c r="C518" t="s">
        <v>15</v>
      </c>
      <c r="D518" t="n" s="18">
        <v>0</v>
      </c>
      <c r="E518" t="n" s="19">
        <v>0</v>
      </c>
      <c r="F518" t="n" s="20">
        <v>0</v>
      </c>
      <c r="G518" t="n" s="19">
        <v>0</v>
      </c>
      <c r="H518" t="n" s="21">
        <v>0</v>
      </c>
      <c r="I518" t="n" s="18">
        <v>0</v>
      </c>
      <c r="J518" t="n" s="18">
        <v>0</v>
      </c>
      <c r="K518" t="n" s="20">
        <v>0</v>
      </c>
      <c r="L518" t="n" s="21">
        <v>0</v>
      </c>
      <c r="M518" t="n" s="19">
        <v>0</v>
      </c>
    </row>
    <row r="519" hidden="0" ht="15" customHeight="1" spans="1:1">
      <c r="A519" t="str" s="17">
        <f>HYPERLINK("https://amazon.com/dp/B0141JOKL0", "B0141JOKL0")</f>
      </c>
      <c r="B519" t="s">
        <v>533</v>
      </c>
      <c r="C519" t="s">
        <v>15</v>
      </c>
      <c r="D519" t="n" s="18">
        <v>0</v>
      </c>
      <c r="E519" t="n" s="19">
        <v>0</v>
      </c>
      <c r="F519" t="n" s="20">
        <v>0</v>
      </c>
      <c r="G519" t="n" s="19">
        <v>0</v>
      </c>
      <c r="H519" t="n" s="21">
        <v>0</v>
      </c>
      <c r="I519" t="n" s="18">
        <v>0</v>
      </c>
      <c r="J519" t="n" s="18">
        <v>0</v>
      </c>
      <c r="K519" t="n" s="20">
        <v>0</v>
      </c>
      <c r="L519" t="n" s="21">
        <v>0</v>
      </c>
      <c r="M519" t="n" s="19">
        <v>0</v>
      </c>
    </row>
    <row r="520" hidden="0" ht="15" customHeight="1" spans="1:1">
      <c r="A520" t="str" s="17">
        <f>HYPERLINK("https://amazon.com/dp/B000N9B66U", "B000N9B66U")</f>
      </c>
      <c r="B520" t="s">
        <v>534</v>
      </c>
      <c r="C520" t="s">
        <v>15</v>
      </c>
      <c r="D520" t="n" s="18">
        <v>0</v>
      </c>
      <c r="E520" t="n" s="19">
        <v>0</v>
      </c>
      <c r="F520" t="n" s="20">
        <v>0</v>
      </c>
      <c r="G520" t="n" s="19">
        <v>0</v>
      </c>
      <c r="H520" t="n" s="21">
        <v>0</v>
      </c>
      <c r="I520" t="n" s="18">
        <v>0</v>
      </c>
      <c r="J520" t="n" s="18">
        <v>0</v>
      </c>
      <c r="K520" t="n" s="20">
        <v>0</v>
      </c>
      <c r="L520" t="n" s="21">
        <v>0</v>
      </c>
      <c r="M520" t="n" s="19">
        <v>0</v>
      </c>
    </row>
    <row r="521" hidden="0" ht="15" customHeight="1" spans="1:1">
      <c r="A521" t="str" s="17">
        <f>HYPERLINK("https://amazon.com/dp/B016TZTNU2", "B016TZTNU2")</f>
      </c>
      <c r="B521" t="s">
        <v>535</v>
      </c>
      <c r="C521" t="s">
        <v>15</v>
      </c>
      <c r="D521" t="n" s="18">
        <v>0</v>
      </c>
      <c r="E521" t="n" s="19">
        <v>0</v>
      </c>
      <c r="F521" t="n" s="20">
        <v>0</v>
      </c>
      <c r="G521" t="n" s="19">
        <v>0</v>
      </c>
      <c r="H521" t="n" s="21">
        <v>0</v>
      </c>
      <c r="I521" t="n" s="18">
        <v>0</v>
      </c>
      <c r="J521" t="n" s="18">
        <v>0</v>
      </c>
      <c r="K521" t="n" s="20">
        <v>0</v>
      </c>
      <c r="L521" t="n" s="21">
        <v>0</v>
      </c>
      <c r="M521" t="n" s="19">
        <v>0</v>
      </c>
    </row>
    <row r="522" hidden="0" ht="15" customHeight="1" spans="1:1">
      <c r="A522" t="str" s="17">
        <f>HYPERLINK("https://amazon.com/dp/B075PDLQ2Y", "B075PDLQ2Y")</f>
      </c>
      <c r="B522" t="s">
        <v>536</v>
      </c>
      <c r="C522" t="s">
        <v>15</v>
      </c>
      <c r="D522" t="n" s="18">
        <v>0</v>
      </c>
      <c r="E522" t="n" s="19">
        <v>0</v>
      </c>
      <c r="F522" t="n" s="20">
        <v>0</v>
      </c>
      <c r="G522" t="n" s="19">
        <v>0</v>
      </c>
      <c r="H522" t="n" s="21">
        <v>0</v>
      </c>
      <c r="I522" t="n" s="18">
        <v>0</v>
      </c>
      <c r="J522" t="n" s="18">
        <v>0</v>
      </c>
      <c r="K522" t="n" s="20">
        <v>0</v>
      </c>
      <c r="L522" t="n" s="21">
        <v>0</v>
      </c>
      <c r="M522" t="n" s="19">
        <v>0</v>
      </c>
    </row>
    <row r="523" hidden="0" ht="15" customHeight="1" spans="1:1">
      <c r="A523" t="str" s="17">
        <f>HYPERLINK("https://amazon.com/dp/B0C3D25NPN", "B0C3D25NPN")</f>
      </c>
      <c r="B523" t="s">
        <v>537</v>
      </c>
      <c r="C523" t="s">
        <v>15</v>
      </c>
      <c r="D523" t="n" s="18">
        <v>0</v>
      </c>
      <c r="E523" t="n" s="19">
        <v>0</v>
      </c>
      <c r="F523" t="n" s="20">
        <v>0</v>
      </c>
      <c r="G523" t="n" s="19">
        <v>0</v>
      </c>
      <c r="H523" t="n" s="21">
        <v>0</v>
      </c>
      <c r="I523" t="n" s="18">
        <v>0</v>
      </c>
      <c r="J523" t="n" s="18">
        <v>0</v>
      </c>
      <c r="K523" t="n" s="20">
        <v>0</v>
      </c>
      <c r="L523" t="n" s="21">
        <v>0</v>
      </c>
      <c r="M523" t="n" s="19">
        <v>0</v>
      </c>
    </row>
    <row r="524" hidden="0" ht="15" customHeight="1" spans="1:1">
      <c r="A524" t="str" s="17">
        <f>HYPERLINK("https://amazon.com/dp/B0038X3RVA", "B0038X3RVA")</f>
      </c>
      <c r="B524" t="s">
        <v>538</v>
      </c>
      <c r="C524" t="s">
        <v>15</v>
      </c>
      <c r="D524" t="n" s="18">
        <v>0</v>
      </c>
      <c r="E524" t="n" s="19">
        <v>0</v>
      </c>
      <c r="F524" t="n" s="20">
        <v>0</v>
      </c>
      <c r="G524" t="n" s="19">
        <v>0</v>
      </c>
      <c r="H524" t="n" s="21">
        <v>0</v>
      </c>
      <c r="I524" t="n" s="18">
        <v>0</v>
      </c>
      <c r="J524" t="n" s="18">
        <v>0</v>
      </c>
      <c r="K524" t="n" s="20">
        <v>0</v>
      </c>
      <c r="L524" t="n" s="21">
        <v>0</v>
      </c>
      <c r="M524" t="n" s="19">
        <v>0</v>
      </c>
    </row>
    <row r="525" hidden="0" ht="15" customHeight="1" spans="1:1">
      <c r="A525" t="str" s="17">
        <f>HYPERLINK("https://amazon.com/dp/B003CFATQK", "B003CFATQK")</f>
      </c>
      <c r="B525" t="s">
        <v>539</v>
      </c>
      <c r="C525" t="s">
        <v>15</v>
      </c>
      <c r="D525" t="n" s="18">
        <v>0</v>
      </c>
      <c r="E525" t="n" s="19">
        <v>0</v>
      </c>
      <c r="F525" t="n" s="20">
        <v>0</v>
      </c>
      <c r="G525" t="n" s="19">
        <v>0</v>
      </c>
      <c r="H525" t="n" s="21">
        <v>0</v>
      </c>
      <c r="I525" t="n" s="18">
        <v>0</v>
      </c>
      <c r="J525" t="n" s="18">
        <v>0</v>
      </c>
      <c r="K525" t="n" s="20">
        <v>0</v>
      </c>
      <c r="L525" t="n" s="21">
        <v>0</v>
      </c>
      <c r="M525" t="n" s="19">
        <v>0</v>
      </c>
    </row>
    <row r="526" hidden="0" ht="15" customHeight="1" spans="1:1">
      <c r="A526" t="str" s="17">
        <f>HYPERLINK("https://amazon.com/dp/B01N57VABO", "B01N57VABO")</f>
      </c>
      <c r="B526" t="s">
        <v>540</v>
      </c>
      <c r="C526" t="s">
        <v>15</v>
      </c>
      <c r="D526" t="n" s="18">
        <v>0</v>
      </c>
      <c r="E526" t="n" s="19">
        <v>0</v>
      </c>
      <c r="F526" t="n" s="20">
        <v>0</v>
      </c>
      <c r="G526" t="n" s="19">
        <v>0</v>
      </c>
      <c r="H526" t="n" s="21">
        <v>0</v>
      </c>
      <c r="I526" t="n" s="18">
        <v>0</v>
      </c>
      <c r="J526" t="n" s="18">
        <v>0</v>
      </c>
      <c r="K526" t="n" s="20">
        <v>0</v>
      </c>
      <c r="L526" t="n" s="21">
        <v>0</v>
      </c>
      <c r="M526" t="n" s="19">
        <v>0</v>
      </c>
    </row>
    <row r="527" hidden="0" ht="15" customHeight="1" spans="1:1">
      <c r="A527" t="str" s="17">
        <f>HYPERLINK("https://amazon.com/dp/B0D6WGRTW5", "B0D6WGRTW5")</f>
      </c>
      <c r="B527" t="s">
        <v>541</v>
      </c>
      <c r="C527" t="s">
        <v>22</v>
      </c>
      <c r="D527" t="n" s="18">
        <v>0</v>
      </c>
      <c r="E527" t="n" s="19">
        <v>0</v>
      </c>
      <c r="F527" t="n" s="20">
        <v>0</v>
      </c>
      <c r="G527" t="n" s="19">
        <v>0</v>
      </c>
      <c r="H527" t="n" s="21">
        <v>0</v>
      </c>
      <c r="I527" t="n" s="18">
        <v>0</v>
      </c>
      <c r="J527" t="n" s="18">
        <v>0</v>
      </c>
      <c r="K527" t="n" s="20">
        <v>0</v>
      </c>
      <c r="L527" t="n" s="21">
        <v>0</v>
      </c>
      <c r="M527" t="n" s="19">
        <v>0</v>
      </c>
    </row>
    <row r="528" hidden="0" ht="15" customHeight="1" spans="1:1">
      <c r="A528" t="str" s="17">
        <f>HYPERLINK("https://amazon.com/dp/B0895THR4Z", "B0895THR4Z")</f>
      </c>
      <c r="B528" t="s">
        <v>542</v>
      </c>
      <c r="C528" t="s">
        <v>15</v>
      </c>
      <c r="D528" t="n" s="18">
        <v>0</v>
      </c>
      <c r="E528" t="n" s="19">
        <v>0</v>
      </c>
      <c r="F528" t="n" s="20">
        <v>0</v>
      </c>
      <c r="G528" t="n" s="19">
        <v>67</v>
      </c>
      <c r="H528" t="n" s="21">
        <v>0</v>
      </c>
      <c r="I528" t="n" s="18">
        <v>0</v>
      </c>
      <c r="J528" t="n" s="18">
        <v>0</v>
      </c>
      <c r="K528" t="n" s="20">
        <v>0</v>
      </c>
      <c r="L528" t="n" s="21">
        <v>0</v>
      </c>
      <c r="M528" t="n" s="19">
        <v>0</v>
      </c>
    </row>
    <row r="529" hidden="0" ht="15" customHeight="1" spans="1:1">
      <c r="A529" t="str" s="17">
        <f>HYPERLINK("https://amazon.com/dp/B08R6JTPTL", "B08R6JTPTL")</f>
      </c>
      <c r="B529" t="s">
        <v>543</v>
      </c>
      <c r="C529" t="s">
        <v>15</v>
      </c>
      <c r="D529" t="n" s="18">
        <v>0</v>
      </c>
      <c r="E529" t="n" s="19">
        <v>0</v>
      </c>
      <c r="F529" t="n" s="20">
        <v>0</v>
      </c>
      <c r="G529" t="n" s="19">
        <v>0</v>
      </c>
      <c r="H529" t="n" s="21">
        <v>0</v>
      </c>
      <c r="I529" t="n" s="18">
        <v>0</v>
      </c>
      <c r="J529" t="n" s="18">
        <v>0</v>
      </c>
      <c r="K529" t="n" s="20">
        <v>0</v>
      </c>
      <c r="L529" t="n" s="21">
        <v>0</v>
      </c>
      <c r="M529" t="n" s="19">
        <v>0</v>
      </c>
    </row>
    <row r="530" hidden="0" ht="15" customHeight="1" spans="1:1">
      <c r="A530" t="str" s="17">
        <f>HYPERLINK("https://amazon.com/dp/B0F1911GJ8", "B0F1911GJ8")</f>
      </c>
      <c r="B530" t="s">
        <v>544</v>
      </c>
      <c r="C530" t="s">
        <v>22</v>
      </c>
      <c r="D530" t="n" s="18">
        <v>0</v>
      </c>
      <c r="E530" t="n" s="19">
        <v>0</v>
      </c>
      <c r="F530" t="n" s="20">
        <v>0</v>
      </c>
      <c r="G530" t="n" s="19">
        <v>10</v>
      </c>
      <c r="H530" t="n" s="21">
        <v>0</v>
      </c>
      <c r="I530" t="n" s="18">
        <v>0</v>
      </c>
      <c r="J530" t="n" s="18">
        <v>0</v>
      </c>
      <c r="K530" t="n" s="20">
        <v>0</v>
      </c>
      <c r="L530" t="n" s="21">
        <v>0</v>
      </c>
      <c r="M530" t="n" s="19">
        <v>0</v>
      </c>
    </row>
    <row r="531" hidden="0" ht="15" customHeight="1" spans="1:1">
      <c r="A531" t="str" s="17">
        <f>HYPERLINK("https://amazon.com/dp/B09BDC9VCL", "B09BDC9VCL")</f>
      </c>
      <c r="B531" t="s">
        <v>545</v>
      </c>
      <c r="C531" t="s">
        <v>15</v>
      </c>
      <c r="D531" t="n" s="18">
        <v>0</v>
      </c>
      <c r="E531" t="n" s="19">
        <v>0</v>
      </c>
      <c r="F531" t="n" s="20">
        <v>0</v>
      </c>
      <c r="G531" t="n" s="19">
        <v>0</v>
      </c>
      <c r="H531" t="n" s="21">
        <v>0</v>
      </c>
      <c r="I531" t="n" s="18">
        <v>0</v>
      </c>
      <c r="J531" t="n" s="18">
        <v>0</v>
      </c>
      <c r="K531" t="n" s="20">
        <v>0</v>
      </c>
      <c r="L531" t="n" s="21">
        <v>0</v>
      </c>
      <c r="M531" t="n" s="19">
        <v>0</v>
      </c>
    </row>
    <row r="532" hidden="0" ht="15" customHeight="1" spans="1:1">
      <c r="A532" t="str" s="17">
        <f>HYPERLINK("https://amazon.com/dp/B08GDB7WQD", "B08GDB7WQD")</f>
      </c>
      <c r="B532" t="s">
        <v>546</v>
      </c>
      <c r="C532" t="s">
        <v>15</v>
      </c>
      <c r="D532" t="n" s="18">
        <v>0</v>
      </c>
      <c r="E532" t="n" s="19">
        <v>0</v>
      </c>
      <c r="F532" t="n" s="20">
        <v>0</v>
      </c>
      <c r="G532" t="n" s="19">
        <v>0</v>
      </c>
      <c r="H532" t="n" s="21">
        <v>0</v>
      </c>
      <c r="I532" t="n" s="18">
        <v>0</v>
      </c>
      <c r="J532" t="n" s="18">
        <v>0</v>
      </c>
      <c r="K532" t="n" s="20">
        <v>0</v>
      </c>
      <c r="L532" t="n" s="21">
        <v>0</v>
      </c>
      <c r="M532" t="n" s="19">
        <v>0</v>
      </c>
    </row>
    <row r="533" hidden="0" ht="15" customHeight="1" spans="1:1">
      <c r="A533" t="str" s="17">
        <f>HYPERLINK("https://amazon.com/dp/B0GVZ35K5H", "B0GVZ35K5H")</f>
      </c>
      <c r="B533" t="s">
        <v>547</v>
      </c>
      <c r="C533" t="s">
        <v>45</v>
      </c>
      <c r="D533" t="n" s="18">
        <v>0</v>
      </c>
      <c r="E533" t="n" s="19">
        <v>0</v>
      </c>
      <c r="F533" t="n" s="20">
        <v>0</v>
      </c>
      <c r="G533" t="n" s="19">
        <v>0</v>
      </c>
      <c r="H533" t="n" s="21">
        <v>0</v>
      </c>
      <c r="I533" t="n" s="18">
        <v>0</v>
      </c>
      <c r="J533" t="n" s="18">
        <v>0</v>
      </c>
      <c r="K533" t="n" s="20">
        <v>0</v>
      </c>
      <c r="L533" t="n" s="21">
        <v>0</v>
      </c>
      <c r="M533" t="n" s="19">
        <v>0</v>
      </c>
    </row>
    <row r="534" hidden="0" ht="15" customHeight="1" spans="1:1">
      <c r="A534" t="str" s="17">
        <f>HYPERLINK("https://amazon.com/dp/B001VFS5B4", "B001VFS5B4")</f>
      </c>
      <c r="B534" t="s">
        <v>548</v>
      </c>
      <c r="C534" t="s">
        <v>15</v>
      </c>
      <c r="D534" t="n" s="18">
        <v>0</v>
      </c>
      <c r="E534" t="n" s="19">
        <v>0</v>
      </c>
      <c r="F534" t="n" s="20">
        <v>0</v>
      </c>
      <c r="G534" t="n" s="19">
        <v>0</v>
      </c>
      <c r="H534" t="n" s="21">
        <v>0</v>
      </c>
      <c r="I534" t="n" s="18">
        <v>0</v>
      </c>
      <c r="J534" t="n" s="18">
        <v>0</v>
      </c>
      <c r="K534" t="n" s="20">
        <v>0</v>
      </c>
      <c r="L534" t="n" s="21">
        <v>0</v>
      </c>
      <c r="M534" t="n" s="19">
        <v>0</v>
      </c>
    </row>
    <row r="535" hidden="0" ht="15" customHeight="1" spans="1:1">
      <c r="A535" t="str" s="17">
        <f>HYPERLINK("https://amazon.com/dp/B08F2T133N", "B08F2T133N")</f>
      </c>
      <c r="B535" t="s">
        <v>549</v>
      </c>
      <c r="C535" t="s">
        <v>15</v>
      </c>
      <c r="D535" t="n" s="18">
        <v>0</v>
      </c>
      <c r="E535" t="n" s="19">
        <v>0</v>
      </c>
      <c r="F535" t="n" s="20">
        <v>0</v>
      </c>
      <c r="G535" t="n" s="19">
        <v>0</v>
      </c>
      <c r="H535" t="n" s="21">
        <v>0</v>
      </c>
      <c r="I535" t="n" s="18">
        <v>0</v>
      </c>
      <c r="J535" t="n" s="18">
        <v>0</v>
      </c>
      <c r="K535" t="n" s="20">
        <v>0</v>
      </c>
      <c r="L535" t="n" s="21">
        <v>0</v>
      </c>
      <c r="M535" t="n" s="19">
        <v>0</v>
      </c>
    </row>
    <row r="536" hidden="0" ht="15" customHeight="1" spans="1:1">
      <c r="A536" t="str" s="17">
        <f>HYPERLINK("https://amazon.com/dp/B0F1Z4M7BN", "B0F1Z4M7BN")</f>
      </c>
      <c r="B536" t="s">
        <v>550</v>
      </c>
      <c r="C536" t="s">
        <v>15</v>
      </c>
      <c r="D536" t="n" s="18">
        <v>0</v>
      </c>
      <c r="E536" t="n" s="19">
        <v>0</v>
      </c>
      <c r="F536" t="n" s="20">
        <v>0</v>
      </c>
      <c r="G536" t="n" s="19">
        <v>0</v>
      </c>
      <c r="H536" t="n" s="21">
        <v>0</v>
      </c>
      <c r="I536" t="n" s="18">
        <v>0</v>
      </c>
      <c r="J536" t="n" s="18">
        <v>0</v>
      </c>
      <c r="K536" t="n" s="20">
        <v>0</v>
      </c>
      <c r="L536" t="n" s="21">
        <v>0</v>
      </c>
      <c r="M536" t="n" s="19">
        <v>0</v>
      </c>
    </row>
    <row r="537" hidden="0" ht="15" customHeight="1" spans="1:1">
      <c r="A537" t="str" s="17">
        <f>HYPERLINK("https://amazon.com/dp/B01F44TDI6", "B01F44TDI6")</f>
      </c>
      <c r="B537" t="s">
        <v>551</v>
      </c>
      <c r="C537" t="s">
        <v>15</v>
      </c>
      <c r="D537" t="n" s="18">
        <v>0</v>
      </c>
      <c r="E537" t="n" s="19">
        <v>0</v>
      </c>
      <c r="F537" t="n" s="20">
        <v>0</v>
      </c>
      <c r="G537" t="n" s="19">
        <v>0</v>
      </c>
      <c r="H537" t="n" s="21">
        <v>0</v>
      </c>
      <c r="I537" t="n" s="18">
        <v>0</v>
      </c>
      <c r="J537" t="n" s="18">
        <v>0</v>
      </c>
      <c r="K537" t="n" s="20">
        <v>0</v>
      </c>
      <c r="L537" t="n" s="21">
        <v>0</v>
      </c>
      <c r="M537" t="n" s="19">
        <v>0</v>
      </c>
    </row>
    <row r="538" hidden="0" ht="15" customHeight="1" spans="1:1">
      <c r="A538" t="str" s="17">
        <f>HYPERLINK("https://amazon.com/dp/B07G37CZMH", "B07G37CZMH")</f>
      </c>
      <c r="B538" t="s">
        <v>552</v>
      </c>
      <c r="C538" t="s">
        <v>15</v>
      </c>
      <c r="D538" t="n" s="18">
        <v>0</v>
      </c>
      <c r="E538" t="n" s="19">
        <v>0</v>
      </c>
      <c r="F538" t="n" s="20">
        <v>0</v>
      </c>
      <c r="G538" t="n" s="19">
        <v>0</v>
      </c>
      <c r="H538" t="n" s="21">
        <v>0</v>
      </c>
      <c r="I538" t="n" s="18">
        <v>0</v>
      </c>
      <c r="J538" t="n" s="18">
        <v>0</v>
      </c>
      <c r="K538" t="n" s="20">
        <v>0</v>
      </c>
      <c r="L538" t="n" s="21">
        <v>0</v>
      </c>
      <c r="M538" t="n" s="19">
        <v>0</v>
      </c>
    </row>
    <row r="539" hidden="0" ht="15" customHeight="1" spans="1:1">
      <c r="A539" t="str" s="17">
        <f>HYPERLINK("https://amazon.com/dp/B00K11UHVA", "B00K11UHVA")</f>
      </c>
      <c r="B539" t="s">
        <v>553</v>
      </c>
      <c r="C539" t="s">
        <v>15</v>
      </c>
      <c r="D539" t="n" s="18">
        <v>0</v>
      </c>
      <c r="E539" t="n" s="19">
        <v>0</v>
      </c>
      <c r="F539" t="n" s="20">
        <v>0</v>
      </c>
      <c r="G539" t="n" s="19">
        <v>0</v>
      </c>
      <c r="H539" t="n" s="21">
        <v>0</v>
      </c>
      <c r="I539" t="n" s="18">
        <v>0</v>
      </c>
      <c r="J539" t="n" s="18">
        <v>0</v>
      </c>
      <c r="K539" t="n" s="20">
        <v>0</v>
      </c>
      <c r="L539" t="n" s="21">
        <v>0</v>
      </c>
      <c r="M539" t="n" s="19">
        <v>0</v>
      </c>
    </row>
    <row r="540" hidden="0" ht="15" customHeight="1" spans="1:1">
      <c r="A540" t="str" s="17">
        <f>HYPERLINK("https://amazon.com/dp/B013OXVA6M", "B013OXVA6M")</f>
      </c>
      <c r="B540" t="s">
        <v>554</v>
      </c>
      <c r="C540" t="s">
        <v>15</v>
      </c>
      <c r="D540" t="n" s="18">
        <v>0</v>
      </c>
      <c r="E540" t="n" s="19">
        <v>0</v>
      </c>
      <c r="F540" t="n" s="20">
        <v>0</v>
      </c>
      <c r="G540" t="n" s="19">
        <v>0</v>
      </c>
      <c r="H540" t="n" s="21">
        <v>0</v>
      </c>
      <c r="I540" t="n" s="18">
        <v>0</v>
      </c>
      <c r="J540" t="n" s="18">
        <v>0</v>
      </c>
      <c r="K540" t="n" s="20">
        <v>0</v>
      </c>
      <c r="L540" t="n" s="21">
        <v>0</v>
      </c>
      <c r="M540" t="n" s="19">
        <v>0</v>
      </c>
    </row>
    <row r="541" hidden="0" ht="15" customHeight="1" spans="1:1">
      <c r="A541" t="str" s="17">
        <f>HYPERLINK("https://amazon.com/dp/B0G2CS18YJ", "B0G2CS18YJ")</f>
      </c>
      <c r="B541" t="s">
        <v>555</v>
      </c>
      <c r="C541" t="s">
        <v>15</v>
      </c>
      <c r="D541" t="n" s="18">
        <v>0</v>
      </c>
      <c r="E541" t="n" s="19">
        <v>0</v>
      </c>
      <c r="F541" t="n" s="20">
        <v>0</v>
      </c>
      <c r="G541" t="n" s="19">
        <v>0</v>
      </c>
      <c r="H541" t="n" s="21">
        <v>0</v>
      </c>
      <c r="I541" t="n" s="18">
        <v>0</v>
      </c>
      <c r="J541" t="n" s="18">
        <v>0</v>
      </c>
      <c r="K541" t="n" s="20">
        <v>0</v>
      </c>
      <c r="L541" t="n" s="21">
        <v>0</v>
      </c>
      <c r="M541" t="n" s="19">
        <v>0</v>
      </c>
    </row>
    <row r="542" hidden="0" ht="15" customHeight="1" spans="1:1">
      <c r="A542" t="str" s="17">
        <f>HYPERLINK("https://amazon.com/dp/B0BFBC7VB4", "B0BFBC7VB4")</f>
      </c>
      <c r="B542" t="s">
        <v>556</v>
      </c>
      <c r="C542" t="s">
        <v>15</v>
      </c>
      <c r="D542" t="n" s="18">
        <v>0</v>
      </c>
      <c r="E542" t="n" s="19">
        <v>0</v>
      </c>
      <c r="F542" t="n" s="20">
        <v>0</v>
      </c>
      <c r="G542" t="n" s="19">
        <v>0</v>
      </c>
      <c r="H542" t="n" s="21">
        <v>0</v>
      </c>
      <c r="I542" t="n" s="18">
        <v>0</v>
      </c>
      <c r="J542" t="n" s="18">
        <v>0</v>
      </c>
      <c r="K542" t="n" s="20">
        <v>0</v>
      </c>
      <c r="L542" t="n" s="21">
        <v>0</v>
      </c>
      <c r="M542" t="n" s="19">
        <v>0</v>
      </c>
    </row>
    <row r="543" hidden="0" ht="15" customHeight="1" spans="1:1">
      <c r="A543" t="str" s="17">
        <f>HYPERLINK("https://amazon.com/dp/B083G3QR53", "B083G3QR53")</f>
      </c>
      <c r="B543" t="s">
        <v>557</v>
      </c>
      <c r="C543" t="s">
        <v>15</v>
      </c>
      <c r="D543" t="n" s="18">
        <v>0</v>
      </c>
      <c r="E543" t="n" s="19">
        <v>0</v>
      </c>
      <c r="F543" t="n" s="20">
        <v>0</v>
      </c>
      <c r="G543" t="n" s="19">
        <v>0</v>
      </c>
      <c r="H543" t="n" s="21">
        <v>0</v>
      </c>
      <c r="I543" t="n" s="18">
        <v>0</v>
      </c>
      <c r="J543" t="n" s="18">
        <v>0</v>
      </c>
      <c r="K543" t="n" s="20">
        <v>0</v>
      </c>
      <c r="L543" t="n" s="21">
        <v>0</v>
      </c>
      <c r="M543" t="n" s="19">
        <v>0</v>
      </c>
    </row>
    <row r="544" hidden="0" ht="15" customHeight="1" spans="1:1">
      <c r="A544" t="str" s="17">
        <f>HYPERLINK("https://amazon.com/dp/B0BPTC2BQ9", "B0BPTC2BQ9")</f>
      </c>
      <c r="B544" t="s">
        <v>558</v>
      </c>
      <c r="C544" t="s">
        <v>45</v>
      </c>
      <c r="D544" t="n" s="18">
        <v>0</v>
      </c>
      <c r="E544" t="n" s="19">
        <v>0</v>
      </c>
      <c r="F544" t="n" s="20">
        <v>0</v>
      </c>
      <c r="G544" t="n" s="19">
        <v>0</v>
      </c>
      <c r="H544" t="n" s="21">
        <v>0</v>
      </c>
      <c r="I544" t="n" s="18">
        <v>0</v>
      </c>
      <c r="J544" t="n" s="18">
        <v>0</v>
      </c>
      <c r="K544" t="n" s="20">
        <v>0</v>
      </c>
      <c r="L544" t="n" s="21">
        <v>0</v>
      </c>
      <c r="M544" t="n" s="19">
        <v>0</v>
      </c>
    </row>
    <row r="545" hidden="0" ht="15" customHeight="1" spans="1:1">
      <c r="A545" t="str" s="17">
        <f>HYPERLINK("https://amazon.com/dp/B0FYHQZ56F", "B0FYHQZ56F")</f>
      </c>
      <c r="B545" t="s">
        <v>559</v>
      </c>
      <c r="C545" t="s">
        <v>22</v>
      </c>
      <c r="D545" t="n" s="18">
        <v>0</v>
      </c>
      <c r="E545" t="n" s="19">
        <v>0</v>
      </c>
      <c r="F545" t="n" s="20">
        <v>0</v>
      </c>
      <c r="G545" t="n" s="19">
        <v>0</v>
      </c>
      <c r="H545" t="n" s="21">
        <v>0</v>
      </c>
      <c r="I545" t="n" s="18">
        <v>0</v>
      </c>
      <c r="J545" t="n" s="18">
        <v>0</v>
      </c>
      <c r="K545" t="n" s="20">
        <v>0</v>
      </c>
      <c r="L545" t="n" s="21">
        <v>0</v>
      </c>
      <c r="M545" t="n" s="19">
        <v>0</v>
      </c>
    </row>
    <row r="546" hidden="0" ht="15" customHeight="1" spans="1:1">
      <c r="A546" t="str" s="17">
        <f>HYPERLINK("https://amazon.com/dp/B0BNKKLYYY", "B0BNKKLYYY")</f>
      </c>
      <c r="B546" t="s">
        <v>560</v>
      </c>
      <c r="C546" t="s">
        <v>15</v>
      </c>
      <c r="D546" t="n" s="18">
        <v>0</v>
      </c>
      <c r="E546" t="n" s="19">
        <v>0</v>
      </c>
      <c r="F546" t="n" s="20">
        <v>0</v>
      </c>
      <c r="G546" t="n" s="19">
        <v>0</v>
      </c>
      <c r="H546" t="n" s="21">
        <v>0</v>
      </c>
      <c r="I546" t="n" s="18">
        <v>0</v>
      </c>
      <c r="J546" t="n" s="18">
        <v>0</v>
      </c>
      <c r="K546" t="n" s="20">
        <v>0</v>
      </c>
      <c r="L546" t="n" s="21">
        <v>0</v>
      </c>
      <c r="M546" t="n" s="19">
        <v>0</v>
      </c>
    </row>
    <row r="547" hidden="0" ht="15" customHeight="1" spans="1:1">
      <c r="A547" t="str" s="17">
        <f>HYPERLINK("https://amazon.com/dp/B000Q69L1C", "B000Q69L1C")</f>
      </c>
      <c r="B547" t="s">
        <v>561</v>
      </c>
      <c r="C547" t="s">
        <v>45</v>
      </c>
      <c r="D547" t="n" s="18">
        <v>0</v>
      </c>
      <c r="E547" t="n" s="19">
        <v>0</v>
      </c>
      <c r="F547" t="n" s="20">
        <v>0</v>
      </c>
      <c r="G547" t="n" s="19">
        <v>0</v>
      </c>
      <c r="H547" t="n" s="21">
        <v>0</v>
      </c>
      <c r="I547" t="n" s="18">
        <v>0</v>
      </c>
      <c r="J547" t="n" s="18">
        <v>0</v>
      </c>
      <c r="K547" t="n" s="20">
        <v>0</v>
      </c>
      <c r="L547" t="n" s="21">
        <v>0</v>
      </c>
      <c r="M547" t="n" s="19">
        <v>0</v>
      </c>
    </row>
    <row r="548" hidden="0" ht="15" customHeight="1" spans="1:1">
      <c r="A548" t="str" s="17">
        <f>HYPERLINK("https://amazon.com/dp/B06Y1SXP44", "B06Y1SXP44")</f>
      </c>
      <c r="B548" t="s">
        <v>562</v>
      </c>
      <c r="C548" t="s">
        <v>15</v>
      </c>
      <c r="D548" t="n" s="18">
        <v>0</v>
      </c>
      <c r="E548" t="n" s="19">
        <v>0</v>
      </c>
      <c r="F548" t="n" s="20">
        <v>0</v>
      </c>
      <c r="G548" t="n" s="19">
        <v>0</v>
      </c>
      <c r="H548" t="n" s="21">
        <v>0</v>
      </c>
      <c r="I548" t="n" s="18">
        <v>0</v>
      </c>
      <c r="J548" t="n" s="18">
        <v>0</v>
      </c>
      <c r="K548" t="n" s="20">
        <v>0</v>
      </c>
      <c r="L548" t="n" s="21">
        <v>0</v>
      </c>
      <c r="M548" t="n" s="19">
        <v>0</v>
      </c>
    </row>
    <row r="549" hidden="0" ht="15" customHeight="1" spans="1:1">
      <c r="A549" t="str" s="17">
        <f>HYPERLINK("https://amazon.com/dp/B0BNYS2B1F", "B0BNYS2B1F")</f>
      </c>
      <c r="B549" t="s">
        <v>563</v>
      </c>
      <c r="C549" t="s">
        <v>15</v>
      </c>
      <c r="D549" t="n" s="18">
        <v>0</v>
      </c>
      <c r="E549" t="n" s="19">
        <v>0</v>
      </c>
      <c r="F549" t="n" s="20">
        <v>0</v>
      </c>
      <c r="G549" t="n" s="19">
        <v>0</v>
      </c>
      <c r="H549" t="n" s="21">
        <v>0</v>
      </c>
      <c r="I549" t="n" s="18">
        <v>0</v>
      </c>
      <c r="J549" t="n" s="18">
        <v>0</v>
      </c>
      <c r="K549" t="n" s="20">
        <v>0</v>
      </c>
      <c r="L549" t="n" s="21">
        <v>0</v>
      </c>
      <c r="M549" t="n" s="19">
        <v>0</v>
      </c>
    </row>
    <row r="550" hidden="0" ht="15" customHeight="1" spans="1:1">
      <c r="A550" t="str" s="17">
        <f>HYPERLINK("https://amazon.com/dp/B0725SRJVZ", "B0725SRJVZ")</f>
      </c>
      <c r="B550" t="s">
        <v>564</v>
      </c>
      <c r="C550" t="s">
        <v>15</v>
      </c>
      <c r="D550" t="n" s="18">
        <v>0</v>
      </c>
      <c r="E550" t="n" s="19">
        <v>0</v>
      </c>
      <c r="F550" t="n" s="20">
        <v>0</v>
      </c>
      <c r="G550" t="n" s="19">
        <v>0</v>
      </c>
      <c r="H550" t="n" s="21">
        <v>0</v>
      </c>
      <c r="I550" t="n" s="18">
        <v>0</v>
      </c>
      <c r="J550" t="n" s="18">
        <v>0</v>
      </c>
      <c r="K550" t="n" s="20">
        <v>0</v>
      </c>
      <c r="L550" t="n" s="21">
        <v>0</v>
      </c>
      <c r="M550" t="n" s="19">
        <v>0</v>
      </c>
    </row>
    <row r="551" hidden="0" ht="15" customHeight="1" spans="1:1">
      <c r="A551" t="str" s="17">
        <f>HYPERLINK("https://amazon.com/dp/B01N4WMSL1", "B01N4WMSL1")</f>
      </c>
      <c r="B551" t="s">
        <v>565</v>
      </c>
      <c r="C551" t="s">
        <v>15</v>
      </c>
      <c r="D551" t="n" s="18">
        <v>0</v>
      </c>
      <c r="E551" t="n" s="19">
        <v>0</v>
      </c>
      <c r="F551" t="n" s="20">
        <v>0</v>
      </c>
      <c r="G551" t="n" s="19">
        <v>0</v>
      </c>
      <c r="H551" t="n" s="21">
        <v>0</v>
      </c>
      <c r="I551" t="n" s="18">
        <v>0</v>
      </c>
      <c r="J551" t="n" s="18">
        <v>0</v>
      </c>
      <c r="K551" t="n" s="20">
        <v>0</v>
      </c>
      <c r="L551" t="n" s="21">
        <v>0</v>
      </c>
      <c r="M551" t="n" s="19">
        <v>0</v>
      </c>
    </row>
    <row r="552" hidden="0" ht="15" customHeight="1" spans="1:1">
      <c r="A552" t="str" s="17">
        <f>HYPERLINK("https://amazon.com/dp/B0FC2H4Q5P", "B0FC2H4Q5P")</f>
      </c>
      <c r="B552" t="s">
        <v>566</v>
      </c>
      <c r="C552" t="s">
        <v>22</v>
      </c>
      <c r="D552" t="n" s="18">
        <v>0</v>
      </c>
      <c r="E552" t="n" s="19">
        <v>0</v>
      </c>
      <c r="F552" t="n" s="20">
        <v>0</v>
      </c>
      <c r="G552" t="n" s="19">
        <v>0</v>
      </c>
      <c r="H552" t="n" s="21">
        <v>0</v>
      </c>
      <c r="I552" t="n" s="18">
        <v>0</v>
      </c>
      <c r="J552" t="n" s="18">
        <v>0</v>
      </c>
      <c r="K552" t="n" s="20">
        <v>0</v>
      </c>
      <c r="L552" t="n" s="21">
        <v>0</v>
      </c>
      <c r="M552" t="n" s="19">
        <v>0</v>
      </c>
    </row>
    <row r="553" hidden="0" ht="15" customHeight="1" spans="1:1">
      <c r="A553" t="str" s="17">
        <f>HYPERLINK("https://amazon.com/dp/B0B8X3Y6RZ", "B0B8X3Y6RZ")</f>
      </c>
      <c r="B553" t="s">
        <v>567</v>
      </c>
      <c r="C553" t="s">
        <v>15</v>
      </c>
      <c r="D553" t="n" s="18">
        <v>0</v>
      </c>
      <c r="E553" t="n" s="19">
        <v>0</v>
      </c>
      <c r="F553" t="n" s="20">
        <v>0</v>
      </c>
      <c r="G553" t="n" s="19">
        <v>0</v>
      </c>
      <c r="H553" t="n" s="21">
        <v>0</v>
      </c>
      <c r="I553" t="n" s="18">
        <v>0</v>
      </c>
      <c r="J553" t="n" s="18">
        <v>0</v>
      </c>
      <c r="K553" t="n" s="20">
        <v>0</v>
      </c>
      <c r="L553" t="n" s="21">
        <v>0</v>
      </c>
      <c r="M553" t="n" s="19">
        <v>0</v>
      </c>
    </row>
    <row r="554" hidden="0" ht="15" customHeight="1" spans="1:1">
      <c r="A554" t="str" s="17">
        <f>HYPERLINK("https://amazon.com/dp/B09NBHLPNQ", "B09NBHLPNQ")</f>
      </c>
      <c r="B554" t="s">
        <v>568</v>
      </c>
      <c r="C554" t="s">
        <v>15</v>
      </c>
      <c r="D554" t="n" s="18">
        <v>0</v>
      </c>
      <c r="E554" t="n" s="19">
        <v>0</v>
      </c>
      <c r="F554" t="n" s="20">
        <v>0</v>
      </c>
      <c r="G554" t="n" s="19">
        <v>0</v>
      </c>
      <c r="H554" t="n" s="21">
        <v>0</v>
      </c>
      <c r="I554" t="n" s="18">
        <v>0</v>
      </c>
      <c r="J554" t="n" s="18">
        <v>0</v>
      </c>
      <c r="K554" t="n" s="20">
        <v>0</v>
      </c>
      <c r="L554" t="n" s="21">
        <v>0</v>
      </c>
      <c r="M554" t="n" s="19">
        <v>0</v>
      </c>
    </row>
    <row r="555" hidden="0" ht="15" customHeight="1" spans="1:1">
      <c r="A555" t="str" s="17">
        <f>HYPERLINK("https://amazon.com/dp/B0CVR9WVFX", "B0CVR9WVFX")</f>
      </c>
      <c r="B555" t="s">
        <v>569</v>
      </c>
      <c r="C555" t="s">
        <v>22</v>
      </c>
      <c r="D555" t="n" s="18">
        <v>0</v>
      </c>
      <c r="E555" t="n" s="19">
        <v>0</v>
      </c>
      <c r="F555" t="n" s="20">
        <v>0</v>
      </c>
      <c r="G555" t="n" s="19">
        <v>0</v>
      </c>
      <c r="H555" t="n" s="21">
        <v>0</v>
      </c>
      <c r="I555" t="n" s="18">
        <v>0</v>
      </c>
      <c r="J555" t="n" s="18">
        <v>0</v>
      </c>
      <c r="K555" t="n" s="20">
        <v>0</v>
      </c>
      <c r="L555" t="n" s="21">
        <v>0</v>
      </c>
      <c r="M555" t="n" s="19">
        <v>0</v>
      </c>
    </row>
    <row r="556" hidden="0" ht="15" customHeight="1" spans="1:1">
      <c r="A556" t="str" s="17">
        <f>HYPERLINK("https://amazon.com/dp/B09TYX13F2", "B09TYX13F2")</f>
      </c>
      <c r="B556" t="s">
        <v>570</v>
      </c>
      <c r="C556" t="s">
        <v>15</v>
      </c>
      <c r="D556" t="n" s="18">
        <v>0</v>
      </c>
      <c r="E556" t="n" s="19">
        <v>0</v>
      </c>
      <c r="F556" t="n" s="20">
        <v>0</v>
      </c>
      <c r="G556" t="n" s="19">
        <v>0</v>
      </c>
      <c r="H556" t="n" s="21">
        <v>0</v>
      </c>
      <c r="I556" t="n" s="18">
        <v>0</v>
      </c>
      <c r="J556" t="n" s="18">
        <v>0</v>
      </c>
      <c r="K556" t="n" s="20">
        <v>0</v>
      </c>
      <c r="L556" t="n" s="21">
        <v>0</v>
      </c>
      <c r="M556" t="n" s="19">
        <v>0</v>
      </c>
    </row>
    <row r="557" hidden="0" ht="15" customHeight="1" spans="1:1">
      <c r="A557" t="str" s="17">
        <f>HYPERLINK("https://amazon.com/dp/B098PKP561", "B098PKP561")</f>
      </c>
      <c r="B557" t="s">
        <v>571</v>
      </c>
      <c r="C557" t="s">
        <v>15</v>
      </c>
      <c r="D557" t="n" s="18">
        <v>0</v>
      </c>
      <c r="E557" t="n" s="19">
        <v>0</v>
      </c>
      <c r="F557" t="n" s="20">
        <v>0</v>
      </c>
      <c r="G557" t="n" s="19">
        <v>0</v>
      </c>
      <c r="H557" t="n" s="21">
        <v>0</v>
      </c>
      <c r="I557" t="n" s="18">
        <v>0</v>
      </c>
      <c r="J557" t="n" s="18">
        <v>0</v>
      </c>
      <c r="K557" t="n" s="20">
        <v>0</v>
      </c>
      <c r="L557" t="n" s="21">
        <v>0</v>
      </c>
      <c r="M557" t="n" s="19">
        <v>0</v>
      </c>
    </row>
    <row r="558" hidden="0" ht="15" customHeight="1" spans="1:1">
      <c r="A558" t="str" s="17">
        <f>HYPERLINK("https://amazon.com/dp/B0CVRTS362", "B0CVRTS362")</f>
      </c>
      <c r="B558" t="s">
        <v>572</v>
      </c>
      <c r="C558" t="s">
        <v>15</v>
      </c>
      <c r="D558" t="n" s="18">
        <v>0</v>
      </c>
      <c r="E558" t="n" s="19">
        <v>0</v>
      </c>
      <c r="F558" t="n" s="20">
        <v>0</v>
      </c>
      <c r="G558" t="n" s="19">
        <v>0</v>
      </c>
      <c r="H558" t="n" s="21">
        <v>0</v>
      </c>
      <c r="I558" t="n" s="18">
        <v>0</v>
      </c>
      <c r="J558" t="n" s="18">
        <v>0</v>
      </c>
      <c r="K558" t="n" s="20">
        <v>0</v>
      </c>
      <c r="L558" t="n" s="21">
        <v>0</v>
      </c>
      <c r="M558" t="n" s="19">
        <v>0</v>
      </c>
    </row>
    <row r="559" hidden="0" ht="15" customHeight="1" spans="1:1">
      <c r="A559" t="str" s="17">
        <f>HYPERLINK("https://amazon.com/dp/B077998TGL", "B077998TGL")</f>
      </c>
      <c r="B559" t="s">
        <v>573</v>
      </c>
      <c r="C559" t="s">
        <v>15</v>
      </c>
      <c r="D559" t="n" s="18">
        <v>0</v>
      </c>
      <c r="E559" t="n" s="19">
        <v>0</v>
      </c>
      <c r="F559" t="n" s="20">
        <v>0</v>
      </c>
      <c r="G559" t="n" s="19">
        <v>0</v>
      </c>
      <c r="H559" t="n" s="21">
        <v>0</v>
      </c>
      <c r="I559" t="n" s="18">
        <v>0</v>
      </c>
      <c r="J559" t="n" s="18">
        <v>0</v>
      </c>
      <c r="K559" t="n" s="20">
        <v>0</v>
      </c>
      <c r="L559" t="n" s="21">
        <v>0</v>
      </c>
      <c r="M559" t="n" s="19">
        <v>0</v>
      </c>
    </row>
    <row r="560" hidden="0" ht="15" customHeight="1" spans="1:1">
      <c r="A560" t="str" s="17">
        <f>HYPERLINK("https://amazon.com/dp/B098FJ6LXB", "B098FJ6LXB")</f>
      </c>
      <c r="B560" t="s">
        <v>574</v>
      </c>
      <c r="C560" t="s">
        <v>22</v>
      </c>
      <c r="D560" t="n" s="18">
        <v>0</v>
      </c>
      <c r="E560" t="n" s="19">
        <v>0</v>
      </c>
      <c r="F560" t="n" s="20">
        <v>0</v>
      </c>
      <c r="G560" t="n" s="19">
        <v>0</v>
      </c>
      <c r="H560" t="n" s="21">
        <v>0</v>
      </c>
      <c r="I560" t="n" s="18">
        <v>0</v>
      </c>
      <c r="J560" t="n" s="18">
        <v>0</v>
      </c>
      <c r="K560" t="n" s="20">
        <v>0</v>
      </c>
      <c r="L560" t="n" s="21">
        <v>0</v>
      </c>
      <c r="M560" t="n" s="19">
        <v>0</v>
      </c>
    </row>
    <row r="561" hidden="0" ht="15" customHeight="1" spans="1:1">
      <c r="A561" t="str" s="17">
        <f>HYPERLINK("https://amazon.com/dp/B01CXCL3U8", "B01CXCL3U8")</f>
      </c>
      <c r="B561" t="s">
        <v>575</v>
      </c>
      <c r="C561" t="s">
        <v>15</v>
      </c>
      <c r="D561" t="n" s="18">
        <v>0</v>
      </c>
      <c r="E561" t="n" s="19">
        <v>0</v>
      </c>
      <c r="F561" t="n" s="20">
        <v>0</v>
      </c>
      <c r="G561" t="n" s="19">
        <v>0</v>
      </c>
      <c r="H561" t="n" s="21">
        <v>0</v>
      </c>
      <c r="I561" t="n" s="18">
        <v>0</v>
      </c>
      <c r="J561" t="n" s="18">
        <v>0</v>
      </c>
      <c r="K561" t="n" s="20">
        <v>0</v>
      </c>
      <c r="L561" t="n" s="21">
        <v>0</v>
      </c>
      <c r="M561" t="n" s="19">
        <v>0</v>
      </c>
    </row>
    <row r="562" hidden="0" ht="15" customHeight="1" spans="1:1">
      <c r="A562" t="str" s="17">
        <f>HYPERLINK("https://amazon.com/dp/B07BLYSK71", "B07BLYSK71")</f>
      </c>
      <c r="B562" t="s">
        <v>576</v>
      </c>
      <c r="C562" t="s">
        <v>15</v>
      </c>
      <c r="D562" t="n" s="18">
        <v>0</v>
      </c>
      <c r="E562" t="n" s="19">
        <v>0</v>
      </c>
      <c r="F562" t="n" s="20">
        <v>0</v>
      </c>
      <c r="G562" t="n" s="19">
        <v>0</v>
      </c>
      <c r="H562" t="n" s="21">
        <v>0</v>
      </c>
      <c r="I562" t="n" s="18">
        <v>0</v>
      </c>
      <c r="J562" t="n" s="18">
        <v>0</v>
      </c>
      <c r="K562" t="n" s="20">
        <v>0</v>
      </c>
      <c r="L562" t="n" s="21">
        <v>0</v>
      </c>
      <c r="M562" t="n" s="19">
        <v>0</v>
      </c>
    </row>
    <row r="563" hidden="0" ht="15" customHeight="1" spans="1:1">
      <c r="A563" t="str" s="17">
        <f>HYPERLINK("https://amazon.com/dp/B0FBRCY2CW", "B0FBRCY2CW")</f>
      </c>
      <c r="B563" t="s">
        <v>577</v>
      </c>
      <c r="C563" t="s">
        <v>15</v>
      </c>
      <c r="D563" t="n" s="18">
        <v>0</v>
      </c>
      <c r="E563" t="n" s="19">
        <v>0</v>
      </c>
      <c r="F563" t="n" s="20">
        <v>0</v>
      </c>
      <c r="G563" t="n" s="19">
        <v>0</v>
      </c>
      <c r="H563" t="n" s="21">
        <v>0</v>
      </c>
      <c r="I563" t="n" s="18">
        <v>0</v>
      </c>
      <c r="J563" t="n" s="18">
        <v>0</v>
      </c>
      <c r="K563" t="n" s="20">
        <v>0</v>
      </c>
      <c r="L563" t="n" s="21">
        <v>0</v>
      </c>
      <c r="M563" t="n" s="19">
        <v>0</v>
      </c>
    </row>
    <row r="564" hidden="0" ht="15" customHeight="1" spans="1:1">
      <c r="A564" t="str" s="17">
        <f>HYPERLINK("https://amazon.com/dp/B01NAWJMWP", "B01NAWJMWP")</f>
      </c>
      <c r="B564" t="s">
        <v>578</v>
      </c>
      <c r="C564" t="s">
        <v>15</v>
      </c>
      <c r="D564" t="n" s="18">
        <v>0</v>
      </c>
      <c r="E564" t="n" s="19">
        <v>0</v>
      </c>
      <c r="F564" t="n" s="20">
        <v>0</v>
      </c>
      <c r="G564" t="n" s="19">
        <v>0</v>
      </c>
      <c r="H564" t="n" s="21">
        <v>0</v>
      </c>
      <c r="I564" t="n" s="18">
        <v>0</v>
      </c>
      <c r="J564" t="n" s="18">
        <v>0</v>
      </c>
      <c r="K564" t="n" s="20">
        <v>0</v>
      </c>
      <c r="L564" t="n" s="21">
        <v>0</v>
      </c>
      <c r="M564" t="n" s="19">
        <v>0</v>
      </c>
    </row>
    <row r="565" hidden="0" ht="15" customHeight="1" spans="1:1">
      <c r="A565" t="str" s="17">
        <f>HYPERLINK("https://amazon.com/dp/B0BJNY3BXW", "B0BJNY3BXW")</f>
      </c>
      <c r="B565" t="s">
        <v>579</v>
      </c>
      <c r="C565" t="s">
        <v>15</v>
      </c>
      <c r="D565" t="n" s="18">
        <v>0</v>
      </c>
      <c r="E565" t="n" s="19">
        <v>0</v>
      </c>
      <c r="F565" t="n" s="20">
        <v>0</v>
      </c>
      <c r="G565" t="n" s="19">
        <v>0</v>
      </c>
      <c r="H565" t="n" s="21">
        <v>0</v>
      </c>
      <c r="I565" t="n" s="18">
        <v>0</v>
      </c>
      <c r="J565" t="n" s="18">
        <v>0</v>
      </c>
      <c r="K565" t="n" s="20">
        <v>0</v>
      </c>
      <c r="L565" t="n" s="21">
        <v>0</v>
      </c>
      <c r="M565" t="n" s="19">
        <v>0</v>
      </c>
    </row>
    <row r="566" hidden="0" ht="15" customHeight="1" spans="1:1">
      <c r="A566" t="str" s="17">
        <f>HYPERLINK("https://amazon.com/dp/B0895VCRKN", "B0895VCRKN")</f>
      </c>
      <c r="B566" t="s">
        <v>580</v>
      </c>
      <c r="C566" t="s">
        <v>15</v>
      </c>
      <c r="D566" t="n" s="18">
        <v>0</v>
      </c>
      <c r="E566" t="n" s="19">
        <v>0</v>
      </c>
      <c r="F566" t="n" s="20">
        <v>0</v>
      </c>
      <c r="G566" t="n" s="19">
        <v>1</v>
      </c>
      <c r="H566" t="n" s="21">
        <v>0</v>
      </c>
      <c r="I566" t="n" s="18">
        <v>0</v>
      </c>
      <c r="J566" t="n" s="18">
        <v>0</v>
      </c>
      <c r="K566" t="n" s="20">
        <v>0</v>
      </c>
      <c r="L566" t="n" s="21">
        <v>0</v>
      </c>
      <c r="M566" t="n" s="19">
        <v>0</v>
      </c>
    </row>
    <row r="567" hidden="0" ht="15" customHeight="1" spans="1:1">
      <c r="A567" t="str" s="17">
        <f>HYPERLINK("https://amazon.com/dp/B06WWFLS77", "B06WWFLS77")</f>
      </c>
      <c r="B567" t="s">
        <v>581</v>
      </c>
      <c r="C567" t="s">
        <v>45</v>
      </c>
      <c r="D567" t="n" s="18">
        <v>0</v>
      </c>
      <c r="E567" t="n" s="19">
        <v>0</v>
      </c>
      <c r="F567" t="n" s="20">
        <v>0</v>
      </c>
      <c r="G567" t="n" s="19">
        <v>0</v>
      </c>
      <c r="H567" t="n" s="21">
        <v>0</v>
      </c>
      <c r="I567" t="n" s="18">
        <v>0</v>
      </c>
      <c r="J567" t="n" s="18">
        <v>0</v>
      </c>
      <c r="K567" t="n" s="20">
        <v>0</v>
      </c>
      <c r="L567" t="n" s="21">
        <v>0</v>
      </c>
      <c r="M567" t="n" s="19">
        <v>0</v>
      </c>
    </row>
    <row r="568" hidden="0" ht="15" customHeight="1" spans="1:1">
      <c r="A568" t="str" s="17">
        <f>HYPERLINK("https://amazon.com/dp/B0B59RLH4F", "B0B59RLH4F")</f>
      </c>
      <c r="B568" t="s">
        <v>582</v>
      </c>
      <c r="C568" t="s">
        <v>22</v>
      </c>
      <c r="D568" t="n" s="18">
        <v>0</v>
      </c>
      <c r="E568" t="n" s="19">
        <v>0</v>
      </c>
      <c r="F568" t="n" s="20">
        <v>0</v>
      </c>
      <c r="G568" t="n" s="19">
        <v>13</v>
      </c>
      <c r="H568" t="n" s="21">
        <v>0</v>
      </c>
      <c r="I568" t="n" s="18">
        <v>0</v>
      </c>
      <c r="J568" t="n" s="18">
        <v>0</v>
      </c>
      <c r="K568" t="n" s="20">
        <v>0</v>
      </c>
      <c r="L568" t="n" s="21">
        <v>0</v>
      </c>
      <c r="M568" t="n" s="19">
        <v>0</v>
      </c>
    </row>
    <row r="569" hidden="0" ht="15" customHeight="1" spans="1:1">
      <c r="A569" t="str" s="17">
        <f>HYPERLINK("https://amazon.com/dp/B0DQV77F5Y", "B0DQV77F5Y")</f>
      </c>
      <c r="B569" t="s">
        <v>583</v>
      </c>
      <c r="C569" t="s">
        <v>15</v>
      </c>
      <c r="D569" t="n" s="18">
        <v>0</v>
      </c>
      <c r="E569" t="n" s="19">
        <v>0</v>
      </c>
      <c r="F569" t="n" s="20">
        <v>0</v>
      </c>
      <c r="G569" t="n" s="19">
        <v>0</v>
      </c>
      <c r="H569" t="n" s="21">
        <v>0</v>
      </c>
      <c r="I569" t="n" s="18">
        <v>0</v>
      </c>
      <c r="J569" t="n" s="18">
        <v>0</v>
      </c>
      <c r="K569" t="n" s="20">
        <v>0</v>
      </c>
      <c r="L569" t="n" s="21">
        <v>0</v>
      </c>
      <c r="M569" t="n" s="19">
        <v>0</v>
      </c>
    </row>
    <row r="570" hidden="0" ht="15" customHeight="1" spans="1:1">
      <c r="A570" t="str" s="17">
        <f>HYPERLINK("https://amazon.com/dp/B01M3RVEQ4", "B01M3RVEQ4")</f>
      </c>
      <c r="B570" t="s">
        <v>584</v>
      </c>
      <c r="C570" t="s">
        <v>15</v>
      </c>
      <c r="D570" t="n" s="18">
        <v>0</v>
      </c>
      <c r="E570" t="n" s="19">
        <v>0</v>
      </c>
      <c r="F570" t="n" s="20">
        <v>0</v>
      </c>
      <c r="G570" t="n" s="19">
        <v>0</v>
      </c>
      <c r="H570" t="n" s="21">
        <v>0</v>
      </c>
      <c r="I570" t="n" s="18">
        <v>0</v>
      </c>
      <c r="J570" t="n" s="18">
        <v>0</v>
      </c>
      <c r="K570" t="n" s="20">
        <v>0</v>
      </c>
      <c r="L570" t="n" s="21">
        <v>0</v>
      </c>
      <c r="M570" t="n" s="19">
        <v>0</v>
      </c>
    </row>
    <row r="571" hidden="0" ht="15" customHeight="1" spans="1:1">
      <c r="A571" t="str" s="17">
        <f>HYPERLINK("https://amazon.com/dp/B06W586CDZ", "B06W586CDZ")</f>
      </c>
      <c r="B571" t="s">
        <v>585</v>
      </c>
      <c r="C571" t="s">
        <v>15</v>
      </c>
      <c r="D571" t="n" s="18">
        <v>0</v>
      </c>
      <c r="E571" t="n" s="19">
        <v>0</v>
      </c>
      <c r="F571" t="n" s="20">
        <v>0</v>
      </c>
      <c r="G571" t="n" s="19">
        <v>0</v>
      </c>
      <c r="H571" t="n" s="21">
        <v>0</v>
      </c>
      <c r="I571" t="n" s="18">
        <v>0</v>
      </c>
      <c r="J571" t="n" s="18">
        <v>0</v>
      </c>
      <c r="K571" t="n" s="20">
        <v>0</v>
      </c>
      <c r="L571" t="n" s="21">
        <v>0</v>
      </c>
      <c r="M571" t="n" s="19">
        <v>0</v>
      </c>
    </row>
    <row r="572" hidden="0" ht="15" customHeight="1" spans="1:1">
      <c r="A572" t="str" s="17">
        <f>HYPERLINK("https://amazon.com/dp/B003UWXFM0", "B003UWXFM0")</f>
      </c>
      <c r="B572" t="s">
        <v>586</v>
      </c>
      <c r="C572" t="s">
        <v>15</v>
      </c>
      <c r="D572" t="n" s="18">
        <v>0</v>
      </c>
      <c r="E572" t="n" s="19">
        <v>0</v>
      </c>
      <c r="F572" t="n" s="20">
        <v>0</v>
      </c>
      <c r="G572" t="n" s="19">
        <v>0</v>
      </c>
      <c r="H572" t="n" s="21">
        <v>0</v>
      </c>
      <c r="I572" t="n" s="18">
        <v>0</v>
      </c>
      <c r="J572" t="n" s="18">
        <v>0</v>
      </c>
      <c r="K572" t="n" s="20">
        <v>0</v>
      </c>
      <c r="L572" t="n" s="21">
        <v>0</v>
      </c>
      <c r="M572" t="n" s="19">
        <v>0</v>
      </c>
    </row>
    <row r="573" hidden="0" ht="15" customHeight="1" spans="1:1">
      <c r="A573" t="str" s="17">
        <f>HYPERLINK("https://amazon.com/dp/B0CPLX5HF2", "B0CPLX5HF2")</f>
      </c>
      <c r="B573" t="s">
        <v>587</v>
      </c>
      <c r="C573" t="s">
        <v>22</v>
      </c>
      <c r="D573" t="n" s="18">
        <v>0</v>
      </c>
      <c r="E573" t="n" s="19">
        <v>0</v>
      </c>
      <c r="F573" t="n" s="20">
        <v>0</v>
      </c>
      <c r="G573" t="n" s="19">
        <v>193</v>
      </c>
      <c r="H573" t="n" s="21">
        <v>0</v>
      </c>
      <c r="I573" t="n" s="18">
        <v>0</v>
      </c>
      <c r="J573" t="n" s="18">
        <v>0</v>
      </c>
      <c r="K573" t="n" s="20">
        <v>0</v>
      </c>
      <c r="L573" t="n" s="21">
        <v>0</v>
      </c>
      <c r="M573" t="n" s="19">
        <v>0</v>
      </c>
    </row>
    <row r="574" hidden="0" ht="15" customHeight="1" spans="1:1">
      <c r="A574" t="str" s="17">
        <f>HYPERLINK("https://amazon.com/dp/B00416Q5KI", "B00416Q5KI")</f>
      </c>
      <c r="B574" t="s">
        <v>588</v>
      </c>
      <c r="C574" t="s">
        <v>15</v>
      </c>
      <c r="D574" t="n" s="18">
        <v>0</v>
      </c>
      <c r="E574" t="n" s="19">
        <v>0</v>
      </c>
      <c r="F574" t="n" s="20">
        <v>0</v>
      </c>
      <c r="G574" t="n" s="19">
        <v>0</v>
      </c>
      <c r="H574" t="n" s="21">
        <v>0</v>
      </c>
      <c r="I574" t="n" s="18">
        <v>0</v>
      </c>
      <c r="J574" t="n" s="18">
        <v>0</v>
      </c>
      <c r="K574" t="n" s="20">
        <v>0</v>
      </c>
      <c r="L574" t="n" s="21">
        <v>0</v>
      </c>
      <c r="M574" t="n" s="19">
        <v>0</v>
      </c>
    </row>
    <row r="575" hidden="0" ht="15" customHeight="1" spans="1:1">
      <c r="A575" t="str" s="17">
        <f>HYPERLINK("https://amazon.com/dp/B0031SUB4S", "B0031SUB4S")</f>
      </c>
      <c r="B575" t="s">
        <v>589</v>
      </c>
      <c r="C575" t="s">
        <v>15</v>
      </c>
      <c r="D575" t="n" s="18">
        <v>0</v>
      </c>
      <c r="E575" t="n" s="19">
        <v>0</v>
      </c>
      <c r="F575" t="n" s="20">
        <v>0</v>
      </c>
      <c r="G575" t="n" s="19">
        <v>0</v>
      </c>
      <c r="H575" t="n" s="21">
        <v>0</v>
      </c>
      <c r="I575" t="n" s="18">
        <v>0</v>
      </c>
      <c r="J575" t="n" s="18">
        <v>0</v>
      </c>
      <c r="K575" t="n" s="20">
        <v>0</v>
      </c>
      <c r="L575" t="n" s="21">
        <v>0</v>
      </c>
      <c r="M575" t="n" s="19">
        <v>0</v>
      </c>
    </row>
    <row r="576" hidden="0" ht="15" customHeight="1" spans="1:1">
      <c r="A576" t="str" s="17">
        <f>HYPERLINK("https://amazon.com/dp/B01NCU7N35", "B01NCU7N35")</f>
      </c>
      <c r="B576" t="s">
        <v>590</v>
      </c>
      <c r="C576" t="s">
        <v>15</v>
      </c>
      <c r="D576" t="n" s="18">
        <v>0</v>
      </c>
      <c r="E576" t="n" s="19">
        <v>0</v>
      </c>
      <c r="F576" t="n" s="20">
        <v>0</v>
      </c>
      <c r="G576" t="n" s="19">
        <v>0</v>
      </c>
      <c r="H576" t="n" s="21">
        <v>0</v>
      </c>
      <c r="I576" t="n" s="18">
        <v>0</v>
      </c>
      <c r="J576" t="n" s="18">
        <v>0</v>
      </c>
      <c r="K576" t="n" s="20">
        <v>0</v>
      </c>
      <c r="L576" t="n" s="21">
        <v>0</v>
      </c>
      <c r="M576" t="n" s="19">
        <v>0</v>
      </c>
    </row>
    <row r="577" hidden="0" ht="15" customHeight="1" spans="1:1">
      <c r="A577" t="str" s="17">
        <f>HYPERLINK("https://amazon.com/dp/B0C6JYLR1W", "B0C6JYLR1W")</f>
      </c>
      <c r="B577" t="s">
        <v>591</v>
      </c>
      <c r="C577" t="s">
        <v>22</v>
      </c>
      <c r="D577" t="n" s="18">
        <v>0</v>
      </c>
      <c r="E577" t="n" s="19">
        <v>0</v>
      </c>
      <c r="F577" t="n" s="20">
        <v>0</v>
      </c>
      <c r="G577" t="n" s="19">
        <v>0</v>
      </c>
      <c r="H577" t="n" s="21">
        <v>0</v>
      </c>
      <c r="I577" t="n" s="18">
        <v>0</v>
      </c>
      <c r="J577" t="n" s="18">
        <v>0</v>
      </c>
      <c r="K577" t="n" s="20">
        <v>0</v>
      </c>
      <c r="L577" t="n" s="21">
        <v>0</v>
      </c>
      <c r="M577" t="n" s="19">
        <v>0</v>
      </c>
    </row>
    <row r="578" hidden="0" ht="15" customHeight="1" spans="1:1">
      <c r="A578" t="str" s="17">
        <f>HYPERLINK("https://amazon.com/dp/B0B7NKLDXW", "B0B7NKLDXW")</f>
      </c>
      <c r="B578" t="s">
        <v>592</v>
      </c>
      <c r="C578" t="s">
        <v>22</v>
      </c>
      <c r="D578" t="n" s="18">
        <v>0</v>
      </c>
      <c r="E578" t="n" s="19">
        <v>0</v>
      </c>
      <c r="F578" t="n" s="20">
        <v>0</v>
      </c>
      <c r="G578" t="n" s="19">
        <v>0</v>
      </c>
      <c r="H578" t="n" s="21">
        <v>0</v>
      </c>
      <c r="I578" t="n" s="18">
        <v>0</v>
      </c>
      <c r="J578" t="n" s="18">
        <v>0</v>
      </c>
      <c r="K578" t="n" s="20">
        <v>0</v>
      </c>
      <c r="L578" t="n" s="21">
        <v>0</v>
      </c>
      <c r="M578" t="n" s="19">
        <v>0</v>
      </c>
    </row>
    <row r="579" hidden="0" ht="15" customHeight="1" spans="1:1">
      <c r="A579" t="str" s="17">
        <f>HYPERLINK("https://amazon.com/dp/B0CDHK3X3M", "B0CDHK3X3M")</f>
      </c>
      <c r="B579" t="s">
        <v>593</v>
      </c>
      <c r="C579" t="s">
        <v>15</v>
      </c>
      <c r="D579" t="n" s="18">
        <v>0</v>
      </c>
      <c r="E579" t="n" s="19">
        <v>0</v>
      </c>
      <c r="F579" t="n" s="20">
        <v>0</v>
      </c>
      <c r="G579" t="n" s="19">
        <v>166</v>
      </c>
      <c r="H579" t="n" s="21">
        <v>0</v>
      </c>
      <c r="I579" t="n" s="18">
        <v>0</v>
      </c>
      <c r="J579" t="n" s="18">
        <v>0</v>
      </c>
      <c r="K579" t="n" s="20">
        <v>0</v>
      </c>
      <c r="L579" t="n" s="21">
        <v>0</v>
      </c>
      <c r="M579" t="n" s="19">
        <v>0</v>
      </c>
    </row>
    <row r="580" hidden="0" ht="15" customHeight="1" spans="1:1">
      <c r="A580" t="str" s="17">
        <f>HYPERLINK("https://amazon.com/dp/B08SJTPJH7", "B08SJTPJH7")</f>
      </c>
      <c r="B580" t="s">
        <v>594</v>
      </c>
      <c r="C580" t="s">
        <v>15</v>
      </c>
      <c r="D580" t="n" s="18">
        <v>0</v>
      </c>
      <c r="E580" t="n" s="19">
        <v>0</v>
      </c>
      <c r="F580" t="n" s="20">
        <v>0</v>
      </c>
      <c r="G580" t="n" s="19">
        <v>0</v>
      </c>
      <c r="H580" t="n" s="21">
        <v>0</v>
      </c>
      <c r="I580" t="n" s="18">
        <v>0</v>
      </c>
      <c r="J580" t="n" s="18">
        <v>0</v>
      </c>
      <c r="K580" t="n" s="20">
        <v>0</v>
      </c>
      <c r="L580" t="n" s="21">
        <v>0</v>
      </c>
      <c r="M580" t="n" s="19">
        <v>0</v>
      </c>
    </row>
    <row r="581" hidden="0" ht="15" customHeight="1" spans="1:1">
      <c r="A581" t="str" s="17">
        <f>HYPERLINK("https://amazon.com/dp/B07YL7C6HP", "B07YL7C6HP")</f>
      </c>
      <c r="B581" t="s">
        <v>595</v>
      </c>
      <c r="C581" t="s">
        <v>15</v>
      </c>
      <c r="D581" t="n" s="18">
        <v>0</v>
      </c>
      <c r="E581" t="n" s="19">
        <v>0</v>
      </c>
      <c r="F581" t="n" s="20">
        <v>0</v>
      </c>
      <c r="G581" t="n" s="19">
        <v>0</v>
      </c>
      <c r="H581" t="n" s="21">
        <v>0</v>
      </c>
      <c r="I581" t="n" s="18">
        <v>0</v>
      </c>
      <c r="J581" t="n" s="18">
        <v>0</v>
      </c>
      <c r="K581" t="n" s="20">
        <v>0</v>
      </c>
      <c r="L581" t="n" s="21">
        <v>0</v>
      </c>
      <c r="M581" t="n" s="19">
        <v>0</v>
      </c>
    </row>
    <row r="582" hidden="0" ht="15" customHeight="1" spans="1:1">
      <c r="A582" t="str" s="17">
        <f>HYPERLINK("https://amazon.com/dp/B0CHFG8XBZ", "B0CHFG8XBZ")</f>
      </c>
      <c r="B582" t="s">
        <v>596</v>
      </c>
      <c r="C582" t="s">
        <v>22</v>
      </c>
      <c r="D582" t="n" s="18">
        <v>0</v>
      </c>
      <c r="E582" t="n" s="19">
        <v>0</v>
      </c>
      <c r="F582" t="n" s="20">
        <v>0</v>
      </c>
      <c r="G582" t="n" s="19">
        <v>0</v>
      </c>
      <c r="H582" t="n" s="21">
        <v>0</v>
      </c>
      <c r="I582" t="n" s="18">
        <v>0</v>
      </c>
      <c r="J582" t="n" s="18">
        <v>0</v>
      </c>
      <c r="K582" t="n" s="20">
        <v>0</v>
      </c>
      <c r="L582" t="n" s="21">
        <v>0</v>
      </c>
      <c r="M582" t="n" s="19">
        <v>0</v>
      </c>
    </row>
    <row r="583" hidden="0" ht="15" customHeight="1" spans="1:1">
      <c r="A583" t="str" s="17">
        <f>HYPERLINK("https://amazon.com/dp/B001FWYGJS", "B001FWYGJS")</f>
      </c>
      <c r="B583" t="s">
        <v>597</v>
      </c>
      <c r="C583" t="s">
        <v>15</v>
      </c>
      <c r="D583" t="n" s="18">
        <v>0</v>
      </c>
      <c r="E583" t="n" s="19">
        <v>0</v>
      </c>
      <c r="F583" t="n" s="20">
        <v>0</v>
      </c>
      <c r="G583" t="n" s="19">
        <v>0</v>
      </c>
      <c r="H583" t="n" s="21">
        <v>0</v>
      </c>
      <c r="I583" t="n" s="18">
        <v>0</v>
      </c>
      <c r="J583" t="n" s="18">
        <v>0</v>
      </c>
      <c r="K583" t="n" s="20">
        <v>0</v>
      </c>
      <c r="L583" t="n" s="21">
        <v>0</v>
      </c>
      <c r="M583" t="n" s="19">
        <v>0</v>
      </c>
    </row>
    <row r="584" hidden="0" ht="15" customHeight="1" spans="1:1">
      <c r="A584" t="str" s="17">
        <f>HYPERLINK("https://amazon.com/dp/B08P24Q1TD", "B08P24Q1TD")</f>
      </c>
      <c r="B584" t="s">
        <v>598</v>
      </c>
      <c r="C584" t="s">
        <v>15</v>
      </c>
      <c r="D584" t="n" s="18">
        <v>0</v>
      </c>
      <c r="E584" t="n" s="19">
        <v>0</v>
      </c>
      <c r="F584" t="n" s="20">
        <v>0</v>
      </c>
      <c r="G584" t="n" s="19">
        <v>0</v>
      </c>
      <c r="H584" t="n" s="21">
        <v>0</v>
      </c>
      <c r="I584" t="n" s="18">
        <v>0</v>
      </c>
      <c r="J584" t="n" s="18">
        <v>0</v>
      </c>
      <c r="K584" t="n" s="20">
        <v>0</v>
      </c>
      <c r="L584" t="n" s="21">
        <v>0</v>
      </c>
      <c r="M584" t="n" s="19">
        <v>0</v>
      </c>
    </row>
    <row r="585" hidden="0" ht="15" customHeight="1" spans="1:1">
      <c r="A585" t="str" s="17">
        <f>HYPERLINK("https://amazon.com/dp/B08P7PSDBT", "B08P7PSDBT")</f>
      </c>
      <c r="B585" t="s">
        <v>599</v>
      </c>
      <c r="C585" t="s">
        <v>15</v>
      </c>
      <c r="D585" t="n" s="18">
        <v>0</v>
      </c>
      <c r="E585" t="n" s="19">
        <v>0</v>
      </c>
      <c r="F585" t="n" s="20">
        <v>0</v>
      </c>
      <c r="G585" t="n" s="19">
        <v>0</v>
      </c>
      <c r="H585" t="n" s="21">
        <v>0</v>
      </c>
      <c r="I585" t="n" s="18">
        <v>0</v>
      </c>
      <c r="J585" t="n" s="18">
        <v>0</v>
      </c>
      <c r="K585" t="n" s="20">
        <v>0</v>
      </c>
      <c r="L585" t="n" s="21">
        <v>0</v>
      </c>
      <c r="M585" t="n" s="19">
        <v>0</v>
      </c>
    </row>
    <row r="586" hidden="0" ht="15" customHeight="1" spans="1:1">
      <c r="A586" t="str" s="17">
        <f>HYPERLINK("https://amazon.com/dp/B00172MK08", "B00172MK08")</f>
      </c>
      <c r="B586" t="s">
        <v>600</v>
      </c>
      <c r="C586" t="s">
        <v>15</v>
      </c>
      <c r="D586" t="n" s="18">
        <v>0</v>
      </c>
      <c r="E586" t="n" s="19">
        <v>0</v>
      </c>
      <c r="F586" t="n" s="20">
        <v>0</v>
      </c>
      <c r="G586" t="n" s="19">
        <v>1</v>
      </c>
      <c r="H586" t="n" s="21">
        <v>0</v>
      </c>
      <c r="I586" t="n" s="18">
        <v>0</v>
      </c>
      <c r="J586" t="n" s="18">
        <v>0</v>
      </c>
      <c r="K586" t="n" s="20">
        <v>0</v>
      </c>
      <c r="L586" t="n" s="21">
        <v>0</v>
      </c>
      <c r="M586" t="n" s="19">
        <v>0</v>
      </c>
    </row>
    <row r="587" hidden="0" ht="15" customHeight="1" spans="1:1">
      <c r="A587" t="str" s="17">
        <f>HYPERLINK("https://amazon.com/dp/B08R3ZHZ78", "B08R3ZHZ78")</f>
      </c>
      <c r="B587" t="s">
        <v>601</v>
      </c>
      <c r="C587" t="s">
        <v>15</v>
      </c>
      <c r="D587" t="n" s="18">
        <v>0</v>
      </c>
      <c r="E587" t="n" s="19">
        <v>0</v>
      </c>
      <c r="F587" t="n" s="20">
        <v>0</v>
      </c>
      <c r="G587" t="n" s="19">
        <v>0</v>
      </c>
      <c r="H587" t="n" s="21">
        <v>0</v>
      </c>
      <c r="I587" t="n" s="18">
        <v>0</v>
      </c>
      <c r="J587" t="n" s="18">
        <v>0</v>
      </c>
      <c r="K587" t="n" s="20">
        <v>0</v>
      </c>
      <c r="L587" t="n" s="21">
        <v>0</v>
      </c>
      <c r="M587" t="n" s="19">
        <v>0</v>
      </c>
    </row>
    <row r="588" hidden="0" ht="15" customHeight="1" spans="1:1">
      <c r="A588" t="str" s="17">
        <f>HYPERLINK("https://amazon.com/dp/B0BRG3V24Q", "B0BRG3V24Q")</f>
      </c>
      <c r="B588" t="s">
        <v>602</v>
      </c>
      <c r="C588" t="s">
        <v>22</v>
      </c>
      <c r="D588" t="n" s="18">
        <v>0</v>
      </c>
      <c r="E588" t="n" s="19">
        <v>0</v>
      </c>
      <c r="F588" t="n" s="20">
        <v>0</v>
      </c>
      <c r="G588" t="n" s="19">
        <v>0</v>
      </c>
      <c r="H588" t="n" s="21">
        <v>0</v>
      </c>
      <c r="I588" t="n" s="18">
        <v>0</v>
      </c>
      <c r="J588" t="n" s="18">
        <v>0</v>
      </c>
      <c r="K588" t="n" s="20">
        <v>0</v>
      </c>
      <c r="L588" t="n" s="21">
        <v>0</v>
      </c>
      <c r="M588" t="n" s="19">
        <v>0</v>
      </c>
    </row>
    <row r="589" hidden="0" ht="15" customHeight="1" spans="1:1">
      <c r="A589" t="str" s="17">
        <f>HYPERLINK("https://amazon.com/dp/B07449JYWK", "B07449JYWK")</f>
      </c>
      <c r="B589" t="s">
        <v>603</v>
      </c>
      <c r="C589" t="s">
        <v>15</v>
      </c>
      <c r="D589" t="n" s="18">
        <v>0</v>
      </c>
      <c r="E589" t="n" s="19">
        <v>0</v>
      </c>
      <c r="F589" t="n" s="20">
        <v>0</v>
      </c>
      <c r="G589" t="n" s="19">
        <v>0</v>
      </c>
      <c r="H589" t="n" s="21">
        <v>0</v>
      </c>
      <c r="I589" t="n" s="18">
        <v>0</v>
      </c>
      <c r="J589" t="n" s="18">
        <v>0</v>
      </c>
      <c r="K589" t="n" s="20">
        <v>0</v>
      </c>
      <c r="L589" t="n" s="21">
        <v>0</v>
      </c>
      <c r="M589" t="n" s="19">
        <v>0</v>
      </c>
    </row>
    <row r="590" hidden="0" ht="15" customHeight="1" spans="1:1">
      <c r="A590" t="str" s="17">
        <f>HYPERLINK("https://amazon.com/dp/B08GDC259H", "B08GDC259H")</f>
      </c>
      <c r="B590" t="s">
        <v>604</v>
      </c>
      <c r="C590" t="s">
        <v>15</v>
      </c>
      <c r="D590" t="n" s="18">
        <v>0</v>
      </c>
      <c r="E590" t="n" s="19">
        <v>0</v>
      </c>
      <c r="F590" t="n" s="20">
        <v>0</v>
      </c>
      <c r="G590" t="n" s="19">
        <v>0</v>
      </c>
      <c r="H590" t="n" s="21">
        <v>0</v>
      </c>
      <c r="I590" t="n" s="18">
        <v>0</v>
      </c>
      <c r="J590" t="n" s="18">
        <v>0</v>
      </c>
      <c r="K590" t="n" s="20">
        <v>0</v>
      </c>
      <c r="L590" t="n" s="21">
        <v>0</v>
      </c>
      <c r="M590" t="n" s="19">
        <v>0</v>
      </c>
    </row>
    <row r="591" hidden="0" ht="15" customHeight="1" spans="1:1">
      <c r="A591" t="str" s="17">
        <f>HYPERLINK("https://amazon.com/dp/B0BD97BNF4", "B0BD97BNF4")</f>
      </c>
      <c r="B591" t="s">
        <v>605</v>
      </c>
      <c r="C591" t="s">
        <v>22</v>
      </c>
      <c r="D591" t="n" s="18">
        <v>0</v>
      </c>
      <c r="E591" t="n" s="19">
        <v>0</v>
      </c>
      <c r="F591" t="n" s="20">
        <v>0</v>
      </c>
      <c r="G591" t="n" s="19">
        <v>0</v>
      </c>
      <c r="H591" t="n" s="21">
        <v>0</v>
      </c>
      <c r="I591" t="n" s="18">
        <v>0</v>
      </c>
      <c r="J591" t="n" s="18">
        <v>0</v>
      </c>
      <c r="K591" t="n" s="20">
        <v>0</v>
      </c>
      <c r="L591" t="n" s="21">
        <v>0</v>
      </c>
      <c r="M591" t="n" s="19">
        <v>0</v>
      </c>
    </row>
    <row r="592" hidden="0" ht="15" customHeight="1" spans="1:1">
      <c r="A592" t="str" s="17">
        <f>HYPERLINK("https://amazon.com/dp/B098K3VCHC", "B098K3VCHC")</f>
      </c>
      <c r="B592" t="s">
        <v>606</v>
      </c>
      <c r="C592" t="s">
        <v>15</v>
      </c>
      <c r="D592" t="n" s="18">
        <v>0</v>
      </c>
      <c r="E592" t="n" s="19">
        <v>0</v>
      </c>
      <c r="F592" t="n" s="20">
        <v>0</v>
      </c>
      <c r="G592" t="n" s="19">
        <v>0</v>
      </c>
      <c r="H592" t="n" s="21">
        <v>0</v>
      </c>
      <c r="I592" t="n" s="18">
        <v>0</v>
      </c>
      <c r="J592" t="n" s="18">
        <v>0</v>
      </c>
      <c r="K592" t="n" s="20">
        <v>0</v>
      </c>
      <c r="L592" t="n" s="21">
        <v>0</v>
      </c>
      <c r="M592" t="n" s="19">
        <v>0</v>
      </c>
    </row>
    <row r="593" hidden="0" ht="15" customHeight="1" spans="1:1">
      <c r="A593" t="str" s="17">
        <f>HYPERLINK("https://amazon.com/dp/B00KO15KV4", "B00KO15KV4")</f>
      </c>
      <c r="B593" t="s">
        <v>607</v>
      </c>
      <c r="C593" t="s">
        <v>15</v>
      </c>
      <c r="D593" t="n" s="18">
        <v>0</v>
      </c>
      <c r="E593" t="n" s="19">
        <v>0</v>
      </c>
      <c r="F593" t="n" s="20">
        <v>0</v>
      </c>
      <c r="G593" t="n" s="19">
        <v>0</v>
      </c>
      <c r="H593" t="n" s="21">
        <v>0</v>
      </c>
      <c r="I593" t="n" s="18">
        <v>0</v>
      </c>
      <c r="J593" t="n" s="18">
        <v>0</v>
      </c>
      <c r="K593" t="n" s="20">
        <v>0</v>
      </c>
      <c r="L593" t="n" s="21">
        <v>0</v>
      </c>
      <c r="M593" t="n" s="19">
        <v>0</v>
      </c>
    </row>
    <row r="594" hidden="0" ht="15" customHeight="1" spans="1:1">
      <c r="A594" t="str" s="17">
        <f>HYPERLINK("https://amazon.com/dp/B0F7Y3PMK8", "B0F7Y3PMK8")</f>
      </c>
      <c r="B594" t="s">
        <v>608</v>
      </c>
      <c r="C594" t="s">
        <v>22</v>
      </c>
      <c r="D594" t="n" s="18">
        <v>0</v>
      </c>
      <c r="E594" t="n" s="19">
        <v>0</v>
      </c>
      <c r="F594" t="n" s="20">
        <v>0</v>
      </c>
      <c r="G594" t="n" s="19">
        <v>0</v>
      </c>
      <c r="H594" t="n" s="21">
        <v>0</v>
      </c>
      <c r="I594" t="n" s="18">
        <v>0</v>
      </c>
      <c r="J594" t="n" s="18">
        <v>0</v>
      </c>
      <c r="K594" t="n" s="20">
        <v>0</v>
      </c>
      <c r="L594" t="n" s="21">
        <v>0</v>
      </c>
      <c r="M594" t="n" s="19">
        <v>0</v>
      </c>
    </row>
    <row r="595" hidden="0" ht="15" customHeight="1" spans="1:1">
      <c r="A595" t="str" s="17">
        <f>HYPERLINK("https://amazon.com/dp/B004UBUJZG", "B004UBUJZG")</f>
      </c>
      <c r="B595" t="s">
        <v>609</v>
      </c>
      <c r="C595" t="s">
        <v>15</v>
      </c>
      <c r="D595" t="n" s="18">
        <v>0</v>
      </c>
      <c r="E595" t="n" s="19">
        <v>0</v>
      </c>
      <c r="F595" t="n" s="20">
        <v>0</v>
      </c>
      <c r="G595" t="n" s="19">
        <v>0</v>
      </c>
      <c r="H595" t="n" s="21">
        <v>0</v>
      </c>
      <c r="I595" t="n" s="18">
        <v>0</v>
      </c>
      <c r="J595" t="n" s="18">
        <v>0</v>
      </c>
      <c r="K595" t="n" s="20">
        <v>0</v>
      </c>
      <c r="L595" t="n" s="21">
        <v>0</v>
      </c>
      <c r="M595" t="n" s="19">
        <v>0</v>
      </c>
    </row>
    <row r="596" hidden="0" ht="15" customHeight="1" spans="1:1">
      <c r="A596" t="str" s="17">
        <f>HYPERLINK("https://amazon.com/dp/B003CFATOW", "B003CFATOW")</f>
      </c>
      <c r="B596" t="s">
        <v>610</v>
      </c>
      <c r="C596" t="s">
        <v>15</v>
      </c>
      <c r="D596" t="n" s="18">
        <v>0</v>
      </c>
      <c r="E596" t="n" s="19">
        <v>0</v>
      </c>
      <c r="F596" t="n" s="20">
        <v>0</v>
      </c>
      <c r="G596" t="n" s="19">
        <v>0</v>
      </c>
      <c r="H596" t="n" s="21">
        <v>0</v>
      </c>
      <c r="I596" t="n" s="18">
        <v>0</v>
      </c>
      <c r="J596" t="n" s="18">
        <v>0</v>
      </c>
      <c r="K596" t="n" s="20">
        <v>0</v>
      </c>
      <c r="L596" t="n" s="21">
        <v>0</v>
      </c>
      <c r="M596" t="n" s="19">
        <v>0</v>
      </c>
    </row>
    <row r="597" hidden="0" ht="15" customHeight="1" spans="1:1">
      <c r="A597" t="str" s="17">
        <f>HYPERLINK("https://amazon.com/dp/B0BXGYSN49", "B0BXGYSN49")</f>
      </c>
      <c r="B597" t="s">
        <v>611</v>
      </c>
      <c r="C597" t="s">
        <v>15</v>
      </c>
      <c r="D597" t="n" s="18">
        <v>0</v>
      </c>
      <c r="E597" t="n" s="19">
        <v>0</v>
      </c>
      <c r="F597" t="n" s="20">
        <v>0</v>
      </c>
      <c r="G597" t="n" s="19">
        <v>52</v>
      </c>
      <c r="H597" t="n" s="21">
        <v>0</v>
      </c>
      <c r="I597" t="n" s="18">
        <v>0</v>
      </c>
      <c r="J597" t="n" s="18">
        <v>0</v>
      </c>
      <c r="K597" t="n" s="20">
        <v>0</v>
      </c>
      <c r="L597" t="n" s="21">
        <v>0</v>
      </c>
      <c r="M597" t="n" s="19">
        <v>0</v>
      </c>
    </row>
    <row r="598" hidden="0" ht="15" customHeight="1" spans="1:1">
      <c r="A598" t="str" s="17">
        <f>HYPERLINK("https://amazon.com/dp/B0088TKTY2", "B0088TKTY2")</f>
      </c>
      <c r="B598" t="s">
        <v>612</v>
      </c>
      <c r="C598" t="s">
        <v>15</v>
      </c>
      <c r="D598" t="n" s="18">
        <v>0</v>
      </c>
      <c r="E598" t="n" s="19">
        <v>0</v>
      </c>
      <c r="F598" t="n" s="20">
        <v>0</v>
      </c>
      <c r="G598" t="n" s="19">
        <v>0</v>
      </c>
      <c r="H598" t="n" s="21">
        <v>0</v>
      </c>
      <c r="I598" t="n" s="18">
        <v>0</v>
      </c>
      <c r="J598" t="n" s="18">
        <v>0</v>
      </c>
      <c r="K598" t="n" s="20">
        <v>0</v>
      </c>
      <c r="L598" t="n" s="21">
        <v>0</v>
      </c>
      <c r="M598" t="n" s="19">
        <v>0</v>
      </c>
    </row>
    <row r="599" hidden="0" ht="15" customHeight="1" spans="1:1">
      <c r="A599" t="str" s="17">
        <f>HYPERLINK("https://amazon.com/dp/B0F1281MCW", "B0F1281MCW")</f>
      </c>
      <c r="B599" t="s">
        <v>613</v>
      </c>
      <c r="C599" t="s">
        <v>15</v>
      </c>
      <c r="D599" t="n" s="18">
        <v>0</v>
      </c>
      <c r="E599" t="n" s="19">
        <v>0</v>
      </c>
      <c r="F599" t="n" s="20">
        <v>0</v>
      </c>
      <c r="G599" t="n" s="19">
        <v>0</v>
      </c>
      <c r="H599" t="n" s="21">
        <v>0</v>
      </c>
      <c r="I599" t="n" s="18">
        <v>0</v>
      </c>
      <c r="J599" t="n" s="18">
        <v>0</v>
      </c>
      <c r="K599" t="n" s="20">
        <v>0</v>
      </c>
      <c r="L599" t="n" s="21">
        <v>0</v>
      </c>
      <c r="M599" t="n" s="19">
        <v>0</v>
      </c>
    </row>
    <row r="600" hidden="0" ht="15" customHeight="1" spans="1:1">
      <c r="A600" t="str" s="17">
        <f>HYPERLINK("https://amazon.com/dp/B01N9OQC1W", "B01N9OQC1W")</f>
      </c>
      <c r="B600" t="s">
        <v>614</v>
      </c>
      <c r="C600" t="s">
        <v>15</v>
      </c>
      <c r="D600" t="n" s="18">
        <v>0</v>
      </c>
      <c r="E600" t="n" s="19">
        <v>0</v>
      </c>
      <c r="F600" t="n" s="20">
        <v>0</v>
      </c>
      <c r="G600" t="n" s="19">
        <v>0</v>
      </c>
      <c r="H600" t="n" s="21">
        <v>0</v>
      </c>
      <c r="I600" t="n" s="18">
        <v>0</v>
      </c>
      <c r="J600" t="n" s="18">
        <v>0</v>
      </c>
      <c r="K600" t="n" s="20">
        <v>0</v>
      </c>
      <c r="L600" t="n" s="21">
        <v>0</v>
      </c>
      <c r="M600" t="n" s="19">
        <v>0</v>
      </c>
    </row>
    <row r="601" hidden="0" ht="15" customHeight="1" spans="1:1">
      <c r="A601" t="str" s="17">
        <f>HYPERLINK("https://amazon.com/dp/B0117ZXA4E", "B0117ZXA4E")</f>
      </c>
      <c r="B601" t="s">
        <v>615</v>
      </c>
      <c r="C601" t="s">
        <v>15</v>
      </c>
      <c r="D601" t="n" s="18">
        <v>0</v>
      </c>
      <c r="E601" t="n" s="19">
        <v>0</v>
      </c>
      <c r="F601" t="n" s="20">
        <v>0</v>
      </c>
      <c r="G601" t="n" s="19">
        <v>0</v>
      </c>
      <c r="H601" t="n" s="21">
        <v>0</v>
      </c>
      <c r="I601" t="n" s="18">
        <v>0</v>
      </c>
      <c r="J601" t="n" s="18">
        <v>0</v>
      </c>
      <c r="K601" t="n" s="20">
        <v>0</v>
      </c>
      <c r="L601" t="n" s="21">
        <v>0</v>
      </c>
      <c r="M601" t="n" s="19">
        <v>0</v>
      </c>
    </row>
    <row r="602" hidden="0" ht="15" customHeight="1" spans="1:1">
      <c r="A602" t="str" s="17">
        <f>HYPERLINK("https://amazon.com/dp/B09BJ2QPKN", "B09BJ2QPKN")</f>
      </c>
      <c r="B602" t="s">
        <v>616</v>
      </c>
      <c r="C602" t="s">
        <v>15</v>
      </c>
      <c r="D602" t="n" s="18">
        <v>0</v>
      </c>
      <c r="E602" t="n" s="19">
        <v>0</v>
      </c>
      <c r="F602" t="n" s="20">
        <v>0</v>
      </c>
      <c r="G602" t="n" s="19">
        <v>0</v>
      </c>
      <c r="H602" t="n" s="21">
        <v>0</v>
      </c>
      <c r="I602" t="n" s="18">
        <v>0</v>
      </c>
      <c r="J602" t="n" s="18">
        <v>0</v>
      </c>
      <c r="K602" t="n" s="20">
        <v>0</v>
      </c>
      <c r="L602" t="n" s="21">
        <v>0</v>
      </c>
      <c r="M602" t="n" s="19">
        <v>0</v>
      </c>
    </row>
    <row r="603" hidden="0" ht="15" customHeight="1" spans="1:1">
      <c r="A603" t="str" s="17">
        <f>HYPERLINK("https://amazon.com/dp/B0741FDDZX", "B0741FDDZX")</f>
      </c>
      <c r="B603" t="s">
        <v>617</v>
      </c>
      <c r="C603" t="s">
        <v>15</v>
      </c>
      <c r="D603" t="n" s="18">
        <v>0</v>
      </c>
      <c r="E603" t="n" s="19">
        <v>0</v>
      </c>
      <c r="F603" t="n" s="20">
        <v>0</v>
      </c>
      <c r="G603" t="n" s="19">
        <v>0</v>
      </c>
      <c r="H603" t="n" s="21">
        <v>0</v>
      </c>
      <c r="I603" t="n" s="18">
        <v>0</v>
      </c>
      <c r="J603" t="n" s="18">
        <v>0</v>
      </c>
      <c r="K603" t="n" s="20">
        <v>0</v>
      </c>
      <c r="L603" t="n" s="21">
        <v>0</v>
      </c>
      <c r="M603" t="n" s="19">
        <v>0</v>
      </c>
    </row>
    <row r="604" hidden="0" ht="15" customHeight="1" spans="1:1">
      <c r="A604" t="str" s="17">
        <f>HYPERLINK("https://amazon.com/dp/B0GWMQMLHH", "B0GWMQMLHH")</f>
      </c>
      <c r="B604" t="s">
        <v>618</v>
      </c>
      <c r="C604" t="s">
        <v>15</v>
      </c>
      <c r="D604" t="n" s="18">
        <v>0</v>
      </c>
      <c r="E604" t="n" s="19">
        <v>0</v>
      </c>
      <c r="F604" t="n" s="20">
        <v>0</v>
      </c>
      <c r="G604" t="n" s="19">
        <v>0</v>
      </c>
      <c r="H604" t="n" s="21">
        <v>0</v>
      </c>
      <c r="I604" t="n" s="18">
        <v>0</v>
      </c>
      <c r="J604" t="n" s="18">
        <v>0</v>
      </c>
      <c r="K604" t="n" s="20">
        <v>0</v>
      </c>
      <c r="L604" t="n" s="21">
        <v>0</v>
      </c>
      <c r="M604" t="n" s="19">
        <v>0</v>
      </c>
    </row>
    <row r="605" hidden="0" ht="15" customHeight="1" spans="1:1">
      <c r="A605" t="str" s="17">
        <f>HYPERLINK("https://amazon.com/dp/B0BJ29SB2F", "B0BJ29SB2F")</f>
      </c>
      <c r="B605" t="s">
        <v>619</v>
      </c>
      <c r="C605" t="s">
        <v>22</v>
      </c>
      <c r="D605" t="n" s="18">
        <v>0</v>
      </c>
      <c r="E605" t="n" s="19">
        <v>0</v>
      </c>
      <c r="F605" t="n" s="20">
        <v>0</v>
      </c>
      <c r="G605" t="n" s="19">
        <v>0</v>
      </c>
      <c r="H605" t="n" s="21">
        <v>0</v>
      </c>
      <c r="I605" t="n" s="18">
        <v>0</v>
      </c>
      <c r="J605" t="n" s="18">
        <v>0</v>
      </c>
      <c r="K605" t="n" s="20">
        <v>0</v>
      </c>
      <c r="L605" t="n" s="21">
        <v>0</v>
      </c>
      <c r="M605" t="n" s="19">
        <v>0</v>
      </c>
    </row>
    <row r="606" hidden="0" ht="15" customHeight="1" spans="1:1">
      <c r="A606" t="str" s="17">
        <f>HYPERLINK("https://amazon.com/dp/B001802U4A", "B001802U4A")</f>
      </c>
      <c r="B606" t="s">
        <v>620</v>
      </c>
      <c r="C606" t="s">
        <v>15</v>
      </c>
      <c r="D606" t="n" s="18">
        <v>0</v>
      </c>
      <c r="E606" t="n" s="19">
        <v>0</v>
      </c>
      <c r="F606" t="n" s="20">
        <v>0</v>
      </c>
      <c r="G606" t="n" s="19">
        <v>0</v>
      </c>
      <c r="H606" t="n" s="21">
        <v>0</v>
      </c>
      <c r="I606" t="n" s="18">
        <v>0</v>
      </c>
      <c r="J606" t="n" s="18">
        <v>0</v>
      </c>
      <c r="K606" t="n" s="20">
        <v>0</v>
      </c>
      <c r="L606" t="n" s="21">
        <v>0</v>
      </c>
      <c r="M606" t="n" s="19">
        <v>0</v>
      </c>
    </row>
    <row r="607" hidden="0" ht="15" customHeight="1" spans="1:1">
      <c r="A607" t="str" s="17">
        <f>HYPERLINK("https://amazon.com/dp/B09ZRY9YHB", "B09ZRY9YHB")</f>
      </c>
      <c r="B607" t="s">
        <v>621</v>
      </c>
      <c r="C607" t="s">
        <v>15</v>
      </c>
      <c r="D607" t="n" s="18">
        <v>0</v>
      </c>
      <c r="E607" t="n" s="19">
        <v>0</v>
      </c>
      <c r="F607" t="n" s="20">
        <v>0</v>
      </c>
      <c r="G607" t="n" s="19">
        <v>0</v>
      </c>
      <c r="H607" t="n" s="21">
        <v>0</v>
      </c>
      <c r="I607" t="n" s="18">
        <v>0</v>
      </c>
      <c r="J607" t="n" s="18">
        <v>0</v>
      </c>
      <c r="K607" t="n" s="20">
        <v>0</v>
      </c>
      <c r="L607" t="n" s="21">
        <v>0</v>
      </c>
      <c r="M607" t="n" s="19">
        <v>0</v>
      </c>
    </row>
    <row r="608" hidden="0" ht="15" customHeight="1" spans="1:1">
      <c r="A608" t="str" s="17">
        <f>HYPERLINK("https://amazon.com/dp/B09FPPVPRM", "B09FPPVPRM")</f>
      </c>
      <c r="B608" t="s">
        <v>622</v>
      </c>
      <c r="C608" t="s">
        <v>15</v>
      </c>
      <c r="D608" t="n" s="18">
        <v>0</v>
      </c>
      <c r="E608" t="n" s="19">
        <v>0</v>
      </c>
      <c r="F608" t="n" s="20">
        <v>0</v>
      </c>
      <c r="G608" t="n" s="19">
        <v>0</v>
      </c>
      <c r="H608" t="n" s="21">
        <v>0</v>
      </c>
      <c r="I608" t="n" s="18">
        <v>0</v>
      </c>
      <c r="J608" t="n" s="18">
        <v>0</v>
      </c>
      <c r="K608" t="n" s="20">
        <v>0</v>
      </c>
      <c r="L608" t="n" s="21">
        <v>0</v>
      </c>
      <c r="M608" t="n" s="19">
        <v>0</v>
      </c>
    </row>
    <row r="609" hidden="0" ht="15" customHeight="1" spans="1:1">
      <c r="A609" t="str" s="17">
        <f>HYPERLINK("https://amazon.com/dp/B0BG6DQRL9", "B0BG6DQRL9")</f>
      </c>
      <c r="B609" t="s">
        <v>623</v>
      </c>
      <c r="C609" t="s">
        <v>22</v>
      </c>
      <c r="D609" t="n" s="18">
        <v>0</v>
      </c>
      <c r="E609" t="n" s="19">
        <v>0</v>
      </c>
      <c r="F609" t="n" s="20">
        <v>0</v>
      </c>
      <c r="G609" t="n" s="19">
        <v>0</v>
      </c>
      <c r="H609" t="n" s="21">
        <v>0</v>
      </c>
      <c r="I609" t="n" s="18">
        <v>0</v>
      </c>
      <c r="J609" t="n" s="18">
        <v>0</v>
      </c>
      <c r="K609" t="n" s="20">
        <v>0</v>
      </c>
      <c r="L609" t="n" s="21">
        <v>0</v>
      </c>
      <c r="M609" t="n" s="19">
        <v>0</v>
      </c>
    </row>
    <row r="610" hidden="0" ht="15" customHeight="1" spans="1:1">
      <c r="A610" t="str" s="17">
        <f>HYPERLINK("https://amazon.com/dp/B00VVHONRM", "B00VVHONRM")</f>
      </c>
      <c r="B610" t="s">
        <v>624</v>
      </c>
      <c r="C610" t="s">
        <v>45</v>
      </c>
      <c r="D610" t="n" s="18">
        <v>0</v>
      </c>
      <c r="E610" t="n" s="19">
        <v>0</v>
      </c>
      <c r="F610" t="n" s="20">
        <v>0</v>
      </c>
      <c r="G610" t="n" s="19">
        <v>0</v>
      </c>
      <c r="H610" t="n" s="21">
        <v>0</v>
      </c>
      <c r="I610" t="n" s="18">
        <v>0</v>
      </c>
      <c r="J610" t="n" s="18">
        <v>0</v>
      </c>
      <c r="K610" t="n" s="20">
        <v>0</v>
      </c>
      <c r="L610" t="n" s="21">
        <v>0</v>
      </c>
      <c r="M610" t="n" s="19">
        <v>0</v>
      </c>
    </row>
    <row r="611" hidden="0" ht="15" customHeight="1" spans="1:1">
      <c r="A611" t="str" s="17">
        <f>HYPERLINK("https://amazon.com/dp/B081HFWWSV", "B081HFWWSV")</f>
      </c>
      <c r="B611" t="s">
        <v>625</v>
      </c>
      <c r="C611" t="s">
        <v>15</v>
      </c>
      <c r="D611" t="n" s="18">
        <v>0</v>
      </c>
      <c r="E611" t="n" s="19">
        <v>0</v>
      </c>
      <c r="F611" t="n" s="20">
        <v>0</v>
      </c>
      <c r="G611" t="n" s="19">
        <v>0</v>
      </c>
      <c r="H611" t="n" s="21">
        <v>0</v>
      </c>
      <c r="I611" t="n" s="18">
        <v>0</v>
      </c>
      <c r="J611" t="n" s="18">
        <v>0</v>
      </c>
      <c r="K611" t="n" s="20">
        <v>0</v>
      </c>
      <c r="L611" t="n" s="21">
        <v>0</v>
      </c>
      <c r="M611" t="n" s="19">
        <v>0</v>
      </c>
    </row>
    <row r="612" hidden="0" ht="15" customHeight="1" spans="1:1">
      <c r="A612" t="str" s="17">
        <f>HYPERLINK("https://amazon.com/dp/B0F889ZMC5", "B0F889ZMC5")</f>
      </c>
      <c r="B612" t="s">
        <v>626</v>
      </c>
      <c r="C612" t="s">
        <v>22</v>
      </c>
      <c r="D612" t="n" s="18">
        <v>0</v>
      </c>
      <c r="E612" t="n" s="19">
        <v>0</v>
      </c>
      <c r="F612" t="n" s="20">
        <v>0</v>
      </c>
      <c r="G612" t="n" s="19">
        <v>0</v>
      </c>
      <c r="H612" t="n" s="21">
        <v>0</v>
      </c>
      <c r="I612" t="n" s="18">
        <v>0</v>
      </c>
      <c r="J612" t="n" s="18">
        <v>0</v>
      </c>
      <c r="K612" t="n" s="20">
        <v>0</v>
      </c>
      <c r="L612" t="n" s="21">
        <v>0</v>
      </c>
      <c r="M612" t="n" s="19">
        <v>0</v>
      </c>
    </row>
    <row r="613" hidden="0" ht="15" customHeight="1" spans="1:1">
      <c r="A613" t="str" s="17">
        <f>HYPERLINK("https://amazon.com/dp/B0894L5BLS", "B0894L5BLS")</f>
      </c>
      <c r="B613" t="s">
        <v>627</v>
      </c>
      <c r="C613" t="s">
        <v>15</v>
      </c>
      <c r="D613" t="n" s="18">
        <v>0</v>
      </c>
      <c r="E613" t="n" s="19">
        <v>0</v>
      </c>
      <c r="F613" t="n" s="20">
        <v>0</v>
      </c>
      <c r="G613" t="n" s="19">
        <v>0</v>
      </c>
      <c r="H613" t="n" s="21">
        <v>0</v>
      </c>
      <c r="I613" t="n" s="18">
        <v>0</v>
      </c>
      <c r="J613" t="n" s="18">
        <v>0</v>
      </c>
      <c r="K613" t="n" s="20">
        <v>0</v>
      </c>
      <c r="L613" t="n" s="21">
        <v>0</v>
      </c>
      <c r="M613" t="n" s="19">
        <v>0</v>
      </c>
    </row>
    <row r="614" hidden="0" ht="15" customHeight="1" spans="1:1">
      <c r="A614" t="str" s="17">
        <f>HYPERLINK("https://amazon.com/dp/B0D546B4LL", "B0D546B4LL")</f>
      </c>
      <c r="B614" t="s">
        <v>628</v>
      </c>
      <c r="C614" t="s">
        <v>22</v>
      </c>
      <c r="D614" t="n" s="18">
        <v>0</v>
      </c>
      <c r="E614" t="n" s="19">
        <v>0</v>
      </c>
      <c r="F614" t="n" s="20">
        <v>0</v>
      </c>
      <c r="G614" t="n" s="19">
        <v>0</v>
      </c>
      <c r="H614" t="n" s="21">
        <v>0</v>
      </c>
      <c r="I614" t="n" s="18">
        <v>0</v>
      </c>
      <c r="J614" t="n" s="18">
        <v>0</v>
      </c>
      <c r="K614" t="n" s="20">
        <v>0</v>
      </c>
      <c r="L614" t="n" s="21">
        <v>0</v>
      </c>
      <c r="M614" t="n" s="19">
        <v>0</v>
      </c>
    </row>
    <row r="615" hidden="0" ht="15" customHeight="1" spans="1:1">
      <c r="A615" t="str" s="17">
        <f>HYPERLINK("https://amazon.com/dp/B0CFLMCC1Q", "B0CFLMCC1Q")</f>
      </c>
      <c r="B615" t="s">
        <v>629</v>
      </c>
      <c r="C615" t="s">
        <v>15</v>
      </c>
      <c r="D615" t="n" s="18">
        <v>0</v>
      </c>
      <c r="E615" t="n" s="19">
        <v>0</v>
      </c>
      <c r="F615" t="n" s="20">
        <v>0</v>
      </c>
      <c r="G615" t="n" s="19">
        <v>0</v>
      </c>
      <c r="H615" t="n" s="21">
        <v>0</v>
      </c>
      <c r="I615" t="n" s="18">
        <v>0</v>
      </c>
      <c r="J615" t="n" s="18">
        <v>0</v>
      </c>
      <c r="K615" t="n" s="20">
        <v>0</v>
      </c>
      <c r="L615" t="n" s="21">
        <v>0</v>
      </c>
      <c r="M615" t="n" s="19">
        <v>0</v>
      </c>
    </row>
    <row r="616" hidden="0" ht="15" customHeight="1" spans="1:1">
      <c r="A616" t="str" s="17">
        <f>HYPERLINK("https://amazon.com/dp/B08GDC2PD8", "B08GDC2PD8")</f>
      </c>
      <c r="B616" t="s">
        <v>630</v>
      </c>
      <c r="C616" t="s">
        <v>15</v>
      </c>
      <c r="D616" t="n" s="18">
        <v>0</v>
      </c>
      <c r="E616" t="n" s="19">
        <v>0</v>
      </c>
      <c r="F616" t="n" s="20">
        <v>0</v>
      </c>
      <c r="G616" t="n" s="19">
        <v>0</v>
      </c>
      <c r="H616" t="n" s="21">
        <v>0</v>
      </c>
      <c r="I616" t="n" s="18">
        <v>0</v>
      </c>
      <c r="J616" t="n" s="18">
        <v>0</v>
      </c>
      <c r="K616" t="n" s="20">
        <v>0</v>
      </c>
      <c r="L616" t="n" s="21">
        <v>0</v>
      </c>
      <c r="M616" t="n" s="19">
        <v>0</v>
      </c>
    </row>
    <row r="617" hidden="0" ht="15" customHeight="1" spans="1:1">
      <c r="A617" t="str" s="17">
        <f>HYPERLINK("https://amazon.com/dp/B0BG5DWY74", "B0BG5DWY74")</f>
      </c>
      <c r="B617" t="s">
        <v>631</v>
      </c>
      <c r="C617" t="s">
        <v>15</v>
      </c>
      <c r="D617" t="n" s="18">
        <v>0</v>
      </c>
      <c r="E617" t="n" s="19">
        <v>0</v>
      </c>
      <c r="F617" t="n" s="20">
        <v>0</v>
      </c>
      <c r="G617" t="n" s="19">
        <v>0</v>
      </c>
      <c r="H617" t="n" s="21">
        <v>0</v>
      </c>
      <c r="I617" t="n" s="18">
        <v>0</v>
      </c>
      <c r="J617" t="n" s="18">
        <v>0</v>
      </c>
      <c r="K617" t="n" s="20">
        <v>0</v>
      </c>
      <c r="L617" t="n" s="21">
        <v>0</v>
      </c>
      <c r="M617" t="n" s="19">
        <v>0</v>
      </c>
    </row>
    <row r="618" hidden="0" ht="15" customHeight="1" spans="1:1">
      <c r="A618" t="str" s="17">
        <f>HYPERLINK("https://amazon.com/dp/B0BFBFYL8W", "B0BFBFYL8W")</f>
      </c>
      <c r="B618" t="s">
        <v>632</v>
      </c>
      <c r="C618" t="s">
        <v>15</v>
      </c>
      <c r="D618" t="n" s="18">
        <v>0</v>
      </c>
      <c r="E618" t="n" s="19">
        <v>0</v>
      </c>
      <c r="F618" t="n" s="20">
        <v>0</v>
      </c>
      <c r="G618" t="n" s="19">
        <v>0</v>
      </c>
      <c r="H618" t="n" s="21">
        <v>0</v>
      </c>
      <c r="I618" t="n" s="18">
        <v>0</v>
      </c>
      <c r="J618" t="n" s="18">
        <v>0</v>
      </c>
      <c r="K618" t="n" s="20">
        <v>0</v>
      </c>
      <c r="L618" t="n" s="21">
        <v>0</v>
      </c>
      <c r="M618" t="n" s="19">
        <v>0</v>
      </c>
    </row>
    <row r="619" hidden="0" ht="15" customHeight="1" spans="1:1">
      <c r="A619" t="str" s="17">
        <f>HYPERLINK("https://amazon.com/dp/B07XY7WJ4W", "B07XY7WJ4W")</f>
      </c>
      <c r="B619" t="s">
        <v>633</v>
      </c>
      <c r="C619" t="s">
        <v>15</v>
      </c>
      <c r="D619" t="n" s="18">
        <v>0</v>
      </c>
      <c r="E619" t="n" s="19">
        <v>0</v>
      </c>
      <c r="F619" t="n" s="20">
        <v>0</v>
      </c>
      <c r="G619" t="n" s="19">
        <v>0</v>
      </c>
      <c r="H619" t="n" s="21">
        <v>0</v>
      </c>
      <c r="I619" t="n" s="18">
        <v>0</v>
      </c>
      <c r="J619" t="n" s="18">
        <v>0</v>
      </c>
      <c r="K619" t="n" s="20">
        <v>0</v>
      </c>
      <c r="L619" t="n" s="21">
        <v>0</v>
      </c>
      <c r="M619" t="n" s="19">
        <v>0</v>
      </c>
    </row>
    <row r="620" hidden="0" ht="15" customHeight="1" spans="1:1">
      <c r="A620" t="str" s="17">
        <f>HYPERLINK("https://amazon.com/dp/B0F5B8K9LB", "B0F5B8K9LB")</f>
      </c>
      <c r="B620" t="s">
        <v>634</v>
      </c>
      <c r="C620" t="s">
        <v>45</v>
      </c>
      <c r="D620" t="n" s="18">
        <v>0</v>
      </c>
      <c r="E620" t="n" s="19">
        <v>0</v>
      </c>
      <c r="F620" t="n" s="20">
        <v>0</v>
      </c>
      <c r="G620" t="n" s="19">
        <v>0</v>
      </c>
      <c r="H620" t="n" s="21">
        <v>0</v>
      </c>
      <c r="I620" t="n" s="18">
        <v>0</v>
      </c>
      <c r="J620" t="n" s="18">
        <v>0</v>
      </c>
      <c r="K620" t="n" s="20">
        <v>0</v>
      </c>
      <c r="L620" t="n" s="21">
        <v>0</v>
      </c>
      <c r="M620" t="n" s="19">
        <v>0</v>
      </c>
    </row>
    <row r="621" hidden="0" ht="15" customHeight="1" spans="1:1">
      <c r="A621" t="str" s="17">
        <f>HYPERLINK("https://amazon.com/dp/B09DPLWYQG", "B09DPLWYQG")</f>
      </c>
      <c r="B621" t="s">
        <v>635</v>
      </c>
      <c r="C621" t="s">
        <v>15</v>
      </c>
      <c r="D621" t="n" s="18">
        <v>0</v>
      </c>
      <c r="E621" t="n" s="19">
        <v>0</v>
      </c>
      <c r="F621" t="n" s="20">
        <v>0</v>
      </c>
      <c r="G621" t="n" s="19">
        <v>0</v>
      </c>
      <c r="H621" t="n" s="21">
        <v>0</v>
      </c>
      <c r="I621" t="n" s="18">
        <v>0</v>
      </c>
      <c r="J621" t="n" s="18">
        <v>0</v>
      </c>
      <c r="K621" t="n" s="20">
        <v>0</v>
      </c>
      <c r="L621" t="n" s="21">
        <v>0</v>
      </c>
      <c r="M621" t="n" s="19">
        <v>0</v>
      </c>
    </row>
    <row r="622" hidden="0" ht="15" customHeight="1" spans="1:1">
      <c r="A622" t="str" s="17">
        <f>HYPERLINK("https://amazon.com/dp/B00DMX8W02", "B00DMX8W02")</f>
      </c>
      <c r="B622" t="s">
        <v>636</v>
      </c>
      <c r="C622" t="s">
        <v>15</v>
      </c>
      <c r="D622" t="n" s="18">
        <v>0</v>
      </c>
      <c r="E622" t="n" s="19">
        <v>0</v>
      </c>
      <c r="F622" t="n" s="20">
        <v>0</v>
      </c>
      <c r="G622" t="n" s="19">
        <v>0</v>
      </c>
      <c r="H622" t="n" s="21">
        <v>0</v>
      </c>
      <c r="I622" t="n" s="18">
        <v>0</v>
      </c>
      <c r="J622" t="n" s="18">
        <v>0</v>
      </c>
      <c r="K622" t="n" s="20">
        <v>0</v>
      </c>
      <c r="L622" t="n" s="21">
        <v>0</v>
      </c>
      <c r="M622" t="n" s="19">
        <v>0</v>
      </c>
    </row>
    <row r="623" hidden="0" ht="15" customHeight="1" spans="1:1">
      <c r="A623" t="str" s="17">
        <f>HYPERLINK("https://amazon.com/dp/B08MH7LN99", "B08MH7LN99")</f>
      </c>
      <c r="B623" t="s">
        <v>637</v>
      </c>
      <c r="C623" t="s">
        <v>15</v>
      </c>
      <c r="D623" t="n" s="18">
        <v>0</v>
      </c>
      <c r="E623" t="n" s="19">
        <v>0</v>
      </c>
      <c r="F623" t="n" s="20">
        <v>0</v>
      </c>
      <c r="G623" t="n" s="19">
        <v>0</v>
      </c>
      <c r="H623" t="n" s="21">
        <v>0</v>
      </c>
      <c r="I623" t="n" s="18">
        <v>0</v>
      </c>
      <c r="J623" t="n" s="18">
        <v>0</v>
      </c>
      <c r="K623" t="n" s="20">
        <v>0</v>
      </c>
      <c r="L623" t="n" s="21">
        <v>0</v>
      </c>
      <c r="M623" t="n" s="19">
        <v>0</v>
      </c>
    </row>
    <row r="624" hidden="0" ht="15" customHeight="1" spans="1:1">
      <c r="A624" t="str" s="17">
        <f>HYPERLINK("https://amazon.com/dp/B01LLAK1SI", "B01LLAK1SI")</f>
      </c>
      <c r="B624" t="s">
        <v>638</v>
      </c>
      <c r="C624" t="s">
        <v>15</v>
      </c>
      <c r="D624" t="n" s="18">
        <v>0</v>
      </c>
      <c r="E624" t="n" s="19">
        <v>0</v>
      </c>
      <c r="F624" t="n" s="20">
        <v>0</v>
      </c>
      <c r="G624" t="n" s="19">
        <v>0</v>
      </c>
      <c r="H624" t="n" s="21">
        <v>0</v>
      </c>
      <c r="I624" t="n" s="18">
        <v>0</v>
      </c>
      <c r="J624" t="n" s="18">
        <v>0</v>
      </c>
      <c r="K624" t="n" s="20">
        <v>0</v>
      </c>
      <c r="L624" t="n" s="21">
        <v>0</v>
      </c>
      <c r="M624" t="n" s="19">
        <v>0</v>
      </c>
    </row>
    <row r="625" hidden="0" ht="15" customHeight="1" spans="1:1">
      <c r="A625" t="str" s="17">
        <f>HYPERLINK("https://amazon.com/dp/B08R3ZHF7M", "B08R3ZHF7M")</f>
      </c>
      <c r="B625" t="s">
        <v>639</v>
      </c>
      <c r="C625" t="s">
        <v>15</v>
      </c>
      <c r="D625" t="n" s="18">
        <v>0</v>
      </c>
      <c r="E625" t="n" s="19">
        <v>0</v>
      </c>
      <c r="F625" t="n" s="20">
        <v>0</v>
      </c>
      <c r="G625" t="n" s="19">
        <v>50</v>
      </c>
      <c r="H625" t="n" s="21">
        <v>0</v>
      </c>
      <c r="I625" t="n" s="18">
        <v>0</v>
      </c>
      <c r="J625" t="n" s="18">
        <v>0</v>
      </c>
      <c r="K625" t="n" s="20">
        <v>0</v>
      </c>
      <c r="L625" t="n" s="21">
        <v>0</v>
      </c>
      <c r="M625" t="n" s="19">
        <v>0</v>
      </c>
    </row>
    <row r="626" hidden="0" ht="15" customHeight="1" spans="1:1">
      <c r="A626" t="str" s="17">
        <f>HYPERLINK("https://amazon.com/dp/B088H34DW9", "B088H34DW9")</f>
      </c>
      <c r="B626" t="s">
        <v>640</v>
      </c>
      <c r="C626" t="s">
        <v>15</v>
      </c>
      <c r="D626" t="n" s="18">
        <v>0</v>
      </c>
      <c r="E626" t="n" s="19">
        <v>0</v>
      </c>
      <c r="F626" t="n" s="20">
        <v>0</v>
      </c>
      <c r="G626" t="n" s="19">
        <v>0</v>
      </c>
      <c r="H626" t="n" s="21">
        <v>0</v>
      </c>
      <c r="I626" t="n" s="18">
        <v>0</v>
      </c>
      <c r="J626" t="n" s="18">
        <v>0</v>
      </c>
      <c r="K626" t="n" s="20">
        <v>0</v>
      </c>
      <c r="L626" t="n" s="21">
        <v>0</v>
      </c>
      <c r="M626" t="n" s="19">
        <v>0</v>
      </c>
    </row>
    <row r="627" hidden="0" ht="15" customHeight="1" spans="1:1">
      <c r="A627" t="str" s="17">
        <f>HYPERLINK("https://amazon.com/dp/B00KT30D0A", "B00KT30D0A")</f>
      </c>
      <c r="B627" t="s">
        <v>641</v>
      </c>
      <c r="C627" t="s">
        <v>15</v>
      </c>
      <c r="D627" t="n" s="18">
        <v>0</v>
      </c>
      <c r="E627" t="n" s="19">
        <v>0</v>
      </c>
      <c r="F627" t="n" s="20">
        <v>0</v>
      </c>
      <c r="G627" t="n" s="19">
        <v>0</v>
      </c>
      <c r="H627" t="n" s="21">
        <v>0</v>
      </c>
      <c r="I627" t="n" s="18">
        <v>0</v>
      </c>
      <c r="J627" t="n" s="18">
        <v>0</v>
      </c>
      <c r="K627" t="n" s="20">
        <v>0</v>
      </c>
      <c r="L627" t="n" s="21">
        <v>0</v>
      </c>
      <c r="M627" t="n" s="19">
        <v>0</v>
      </c>
    </row>
    <row r="628" hidden="0" ht="15" customHeight="1" spans="1:1">
      <c r="A628" t="str" s="17">
        <f>HYPERLINK("https://amazon.com/dp/B000RSTX9O", "B000RSTX9O")</f>
      </c>
      <c r="B628" t="s">
        <v>642</v>
      </c>
      <c r="C628" t="s">
        <v>15</v>
      </c>
      <c r="D628" t="n" s="18">
        <v>0</v>
      </c>
      <c r="E628" t="n" s="19">
        <v>0</v>
      </c>
      <c r="F628" t="n" s="20">
        <v>0</v>
      </c>
      <c r="G628" t="n" s="19">
        <v>0</v>
      </c>
      <c r="H628" t="n" s="21">
        <v>0</v>
      </c>
      <c r="I628" t="n" s="18">
        <v>0</v>
      </c>
      <c r="J628" t="n" s="18">
        <v>0</v>
      </c>
      <c r="K628" t="n" s="20">
        <v>0</v>
      </c>
      <c r="L628" t="n" s="21">
        <v>0</v>
      </c>
      <c r="M628" t="n" s="19">
        <v>0</v>
      </c>
    </row>
    <row r="629" hidden="0" ht="15" customHeight="1" spans="1:1">
      <c r="A629" t="str" s="17">
        <f>HYPERLINK("https://amazon.com/dp/B008S1JXRE", "B008S1JXRE")</f>
      </c>
      <c r="B629" t="s">
        <v>643</v>
      </c>
      <c r="C629" t="s">
        <v>15</v>
      </c>
      <c r="D629" t="n" s="18">
        <v>0</v>
      </c>
      <c r="E629" t="n" s="19">
        <v>0</v>
      </c>
      <c r="F629" t="n" s="20">
        <v>0</v>
      </c>
      <c r="G629" t="n" s="19">
        <v>0</v>
      </c>
      <c r="H629" t="n" s="21">
        <v>0</v>
      </c>
      <c r="I629" t="n" s="18">
        <v>0</v>
      </c>
      <c r="J629" t="n" s="18">
        <v>0</v>
      </c>
      <c r="K629" t="n" s="20">
        <v>0</v>
      </c>
      <c r="L629" t="n" s="21">
        <v>0</v>
      </c>
      <c r="M629" t="n" s="19">
        <v>0</v>
      </c>
    </row>
    <row r="630" hidden="0" ht="15" customHeight="1" spans="1:1">
      <c r="A630" t="str" s="17">
        <f>HYPERLINK("https://amazon.com/dp/B08FHLMCXL", "B08FHLMCXL")</f>
      </c>
      <c r="B630" t="s">
        <v>644</v>
      </c>
      <c r="C630" t="s">
        <v>15</v>
      </c>
      <c r="D630" t="n" s="18">
        <v>0</v>
      </c>
      <c r="E630" t="n" s="19">
        <v>0</v>
      </c>
      <c r="F630" t="n" s="20">
        <v>0</v>
      </c>
      <c r="G630" t="n" s="19">
        <v>0</v>
      </c>
      <c r="H630" t="n" s="21">
        <v>0</v>
      </c>
      <c r="I630" t="n" s="18">
        <v>0</v>
      </c>
      <c r="J630" t="n" s="18">
        <v>0</v>
      </c>
      <c r="K630" t="n" s="20">
        <v>0</v>
      </c>
      <c r="L630" t="n" s="21">
        <v>0</v>
      </c>
      <c r="M630" t="n" s="19">
        <v>0</v>
      </c>
    </row>
    <row r="631" hidden="0" ht="15" customHeight="1" spans="1:1">
      <c r="A631" t="str" s="17">
        <f>HYPERLINK("https://amazon.com/dp/B0FMQTTM71", "B0FMQTTM71")</f>
      </c>
      <c r="B631" t="s">
        <v>645</v>
      </c>
      <c r="C631" t="s">
        <v>15</v>
      </c>
      <c r="D631" t="n" s="18">
        <v>0</v>
      </c>
      <c r="E631" t="n" s="19">
        <v>0</v>
      </c>
      <c r="F631" t="n" s="20">
        <v>0</v>
      </c>
      <c r="G631" t="n" s="19">
        <v>0</v>
      </c>
      <c r="H631" t="n" s="21">
        <v>0</v>
      </c>
      <c r="I631" t="n" s="18">
        <v>0</v>
      </c>
      <c r="J631" t="n" s="18">
        <v>0</v>
      </c>
      <c r="K631" t="n" s="20">
        <v>0</v>
      </c>
      <c r="L631" t="n" s="21">
        <v>0</v>
      </c>
      <c r="M631" t="n" s="19">
        <v>0</v>
      </c>
    </row>
    <row r="632" hidden="0" ht="15" customHeight="1" spans="1:1">
      <c r="A632" t="str" s="17">
        <f>HYPERLINK("https://amazon.com/dp/B0FP2T1LQH", "B0FP2T1LQH")</f>
      </c>
      <c r="B632" t="s">
        <v>646</v>
      </c>
      <c r="C632" t="s">
        <v>22</v>
      </c>
      <c r="D632" t="n" s="18">
        <v>0</v>
      </c>
      <c r="E632" t="n" s="19">
        <v>0</v>
      </c>
      <c r="F632" t="n" s="20">
        <v>0</v>
      </c>
      <c r="G632" t="n" s="19">
        <v>0</v>
      </c>
      <c r="H632" t="n" s="21">
        <v>0</v>
      </c>
      <c r="I632" t="n" s="18">
        <v>0</v>
      </c>
      <c r="J632" t="n" s="18">
        <v>0</v>
      </c>
      <c r="K632" t="n" s="20">
        <v>0</v>
      </c>
      <c r="L632" t="n" s="21">
        <v>0</v>
      </c>
      <c r="M632" t="n" s="19">
        <v>0</v>
      </c>
    </row>
    <row r="633" hidden="0" ht="15" customHeight="1" spans="1:1">
      <c r="A633" t="str" s="17">
        <f>HYPERLINK("https://amazon.com/dp/B08QVV4RL7", "B08QVV4RL7")</f>
      </c>
      <c r="B633" t="s">
        <v>647</v>
      </c>
      <c r="C633" t="s">
        <v>15</v>
      </c>
      <c r="D633" t="n" s="18">
        <v>0</v>
      </c>
      <c r="E633" t="n" s="19">
        <v>0</v>
      </c>
      <c r="F633" t="n" s="20">
        <v>0</v>
      </c>
      <c r="G633" t="n" s="19">
        <v>0</v>
      </c>
      <c r="H633" t="n" s="21">
        <v>0</v>
      </c>
      <c r="I633" t="n" s="18">
        <v>0</v>
      </c>
      <c r="J633" t="n" s="18">
        <v>0</v>
      </c>
      <c r="K633" t="n" s="20">
        <v>0</v>
      </c>
      <c r="L633" t="n" s="21">
        <v>0</v>
      </c>
      <c r="M633" t="n" s="19">
        <v>0</v>
      </c>
    </row>
    <row r="634" hidden="0" ht="15" customHeight="1" spans="1:1">
      <c r="A634" t="str" s="17">
        <f>HYPERLINK("https://amazon.com/dp/B0BBV29JXX", "B0BBV29JXX")</f>
      </c>
      <c r="B634" t="s">
        <v>648</v>
      </c>
      <c r="C634" t="s">
        <v>15</v>
      </c>
      <c r="D634" t="n" s="18">
        <v>0</v>
      </c>
      <c r="E634" t="n" s="19">
        <v>0</v>
      </c>
      <c r="F634" t="n" s="20">
        <v>0</v>
      </c>
      <c r="G634" t="n" s="19">
        <v>0</v>
      </c>
      <c r="H634" t="n" s="21">
        <v>0</v>
      </c>
      <c r="I634" t="n" s="18">
        <v>0</v>
      </c>
      <c r="J634" t="n" s="18">
        <v>0</v>
      </c>
      <c r="K634" t="n" s="20">
        <v>0</v>
      </c>
      <c r="L634" t="n" s="21">
        <v>0</v>
      </c>
      <c r="M634" t="n" s="19">
        <v>0</v>
      </c>
    </row>
    <row r="635" hidden="0" ht="15" customHeight="1" spans="1:1">
      <c r="A635" t="str" s="17">
        <f>HYPERLINK("https://amazon.com/dp/B01M5JJXFR", "B01M5JJXFR")</f>
      </c>
      <c r="B635" t="s">
        <v>649</v>
      </c>
      <c r="C635" t="s">
        <v>15</v>
      </c>
      <c r="D635" t="n" s="18">
        <v>0</v>
      </c>
      <c r="E635" t="n" s="19">
        <v>0</v>
      </c>
      <c r="F635" t="n" s="20">
        <v>0</v>
      </c>
      <c r="G635" t="n" s="19">
        <v>0</v>
      </c>
      <c r="H635" t="n" s="21">
        <v>0</v>
      </c>
      <c r="I635" t="n" s="18">
        <v>0</v>
      </c>
      <c r="J635" t="n" s="18">
        <v>0</v>
      </c>
      <c r="K635" t="n" s="20">
        <v>0</v>
      </c>
      <c r="L635" t="n" s="21">
        <v>0</v>
      </c>
      <c r="M635" t="n" s="19">
        <v>0</v>
      </c>
    </row>
    <row r="636" hidden="0" ht="15" customHeight="1" spans="1:1">
      <c r="A636" t="str" s="17">
        <f>HYPERLINK("https://amazon.com/dp/B07NB1DL86", "B07NB1DL86")</f>
      </c>
      <c r="B636" t="s">
        <v>650</v>
      </c>
      <c r="C636" t="s">
        <v>15</v>
      </c>
      <c r="D636" t="n" s="18">
        <v>0</v>
      </c>
      <c r="E636" t="n" s="19">
        <v>0</v>
      </c>
      <c r="F636" t="n" s="20">
        <v>0</v>
      </c>
      <c r="G636" t="n" s="19">
        <v>0</v>
      </c>
      <c r="H636" t="n" s="21">
        <v>0</v>
      </c>
      <c r="I636" t="n" s="18">
        <v>0</v>
      </c>
      <c r="J636" t="n" s="18">
        <v>0</v>
      </c>
      <c r="K636" t="n" s="20">
        <v>0</v>
      </c>
      <c r="L636" t="n" s="21">
        <v>0</v>
      </c>
      <c r="M636" t="n" s="19">
        <v>0</v>
      </c>
    </row>
    <row r="637" hidden="0" ht="15" customHeight="1" spans="1:1">
      <c r="A637" t="str" s="17">
        <f>HYPERLINK("https://amazon.com/dp/B0GVFK29BS", "B0GVFK29BS")</f>
      </c>
      <c r="B637" t="s">
        <v>651</v>
      </c>
      <c r="C637" t="s">
        <v>15</v>
      </c>
      <c r="D637" t="n" s="18">
        <v>0</v>
      </c>
      <c r="E637" t="n" s="19">
        <v>0</v>
      </c>
      <c r="F637" t="n" s="20">
        <v>0</v>
      </c>
      <c r="G637" t="n" s="19">
        <v>0</v>
      </c>
      <c r="H637" t="n" s="21">
        <v>0</v>
      </c>
      <c r="I637" t="n" s="18">
        <v>0</v>
      </c>
      <c r="J637" t="n" s="18">
        <v>0</v>
      </c>
      <c r="K637" t="n" s="20">
        <v>0</v>
      </c>
      <c r="L637" t="n" s="21">
        <v>0</v>
      </c>
      <c r="M637" t="n" s="19">
        <v>0</v>
      </c>
    </row>
    <row r="638" hidden="0" ht="15" customHeight="1" spans="1:1">
      <c r="A638" t="str" s="17">
        <f>HYPERLINK("https://amazon.com/dp/B08KGWRDLQ", "B08KGWRDLQ")</f>
      </c>
      <c r="B638" t="s">
        <v>652</v>
      </c>
      <c r="C638" t="s">
        <v>15</v>
      </c>
      <c r="D638" t="n" s="18">
        <v>0</v>
      </c>
      <c r="E638" t="n" s="19">
        <v>0</v>
      </c>
      <c r="F638" t="n" s="20">
        <v>0</v>
      </c>
      <c r="G638" t="n" s="19">
        <v>0</v>
      </c>
      <c r="H638" t="n" s="21">
        <v>0</v>
      </c>
      <c r="I638" t="n" s="18">
        <v>0</v>
      </c>
      <c r="J638" t="n" s="18">
        <v>0</v>
      </c>
      <c r="K638" t="n" s="20">
        <v>0</v>
      </c>
      <c r="L638" t="n" s="21">
        <v>0</v>
      </c>
      <c r="M638" t="n" s="19">
        <v>0</v>
      </c>
    </row>
    <row r="639" hidden="0" ht="15" customHeight="1" spans="1:1">
      <c r="A639" t="str" s="17">
        <f>HYPERLINK("https://amazon.com/dp/B07JQ7157K", "B07JQ7157K")</f>
      </c>
      <c r="B639" t="s">
        <v>653</v>
      </c>
      <c r="C639" t="s">
        <v>15</v>
      </c>
      <c r="D639" t="n" s="18">
        <v>0</v>
      </c>
      <c r="E639" t="n" s="19">
        <v>0</v>
      </c>
      <c r="F639" t="n" s="20">
        <v>0</v>
      </c>
      <c r="G639" t="n" s="19">
        <v>0</v>
      </c>
      <c r="H639" t="n" s="21">
        <v>0</v>
      </c>
      <c r="I639" t="n" s="18">
        <v>0</v>
      </c>
      <c r="J639" t="n" s="18">
        <v>0</v>
      </c>
      <c r="K639" t="n" s="20">
        <v>0</v>
      </c>
      <c r="L639" t="n" s="21">
        <v>0</v>
      </c>
      <c r="M639" t="n" s="19">
        <v>0</v>
      </c>
    </row>
    <row r="640" hidden="0" ht="15" customHeight="1" spans="1:1">
      <c r="A640" t="str" s="17">
        <f>HYPERLINK("https://amazon.com/dp/B08W4PM24H", "B08W4PM24H")</f>
      </c>
      <c r="B640" t="s">
        <v>654</v>
      </c>
      <c r="C640" t="s">
        <v>15</v>
      </c>
      <c r="D640" t="n" s="18">
        <v>0</v>
      </c>
      <c r="E640" t="n" s="19">
        <v>0</v>
      </c>
      <c r="F640" t="n" s="20">
        <v>0</v>
      </c>
      <c r="G640" t="n" s="19">
        <v>0</v>
      </c>
      <c r="H640" t="n" s="21">
        <v>0</v>
      </c>
      <c r="I640" t="n" s="18">
        <v>0</v>
      </c>
      <c r="J640" t="n" s="18">
        <v>0</v>
      </c>
      <c r="K640" t="n" s="20">
        <v>0</v>
      </c>
      <c r="L640" t="n" s="21">
        <v>0</v>
      </c>
      <c r="M640" t="n" s="19">
        <v>0</v>
      </c>
    </row>
    <row r="641" hidden="0" ht="15" customHeight="1" spans="1:1">
      <c r="A641" t="str" s="17">
        <f>HYPERLINK("https://amazon.com/dp/B086JPDYQL", "B086JPDYQL")</f>
      </c>
      <c r="B641" t="s">
        <v>655</v>
      </c>
      <c r="C641" t="s">
        <v>15</v>
      </c>
      <c r="D641" t="n" s="18">
        <v>0</v>
      </c>
      <c r="E641" t="n" s="19">
        <v>0</v>
      </c>
      <c r="F641" t="n" s="20">
        <v>0</v>
      </c>
      <c r="G641" t="n" s="19">
        <v>0</v>
      </c>
      <c r="H641" t="n" s="21">
        <v>0</v>
      </c>
      <c r="I641" t="n" s="18">
        <v>0</v>
      </c>
      <c r="J641" t="n" s="18">
        <v>0</v>
      </c>
      <c r="K641" t="n" s="20">
        <v>0</v>
      </c>
      <c r="L641" t="n" s="21">
        <v>0</v>
      </c>
      <c r="M641" t="n" s="19">
        <v>0</v>
      </c>
    </row>
    <row r="642" hidden="0" ht="15" customHeight="1" spans="1:1">
      <c r="A642" t="str" s="17">
        <f>HYPERLINK("https://amazon.com/dp/B09SGKK5XD", "B09SGKK5XD")</f>
      </c>
      <c r="B642" t="s">
        <v>656</v>
      </c>
      <c r="C642" t="s">
        <v>15</v>
      </c>
      <c r="D642" t="n" s="18">
        <v>0</v>
      </c>
      <c r="E642" t="n" s="19">
        <v>0</v>
      </c>
      <c r="F642" t="n" s="20">
        <v>0</v>
      </c>
      <c r="G642" t="n" s="19">
        <v>0</v>
      </c>
      <c r="H642" t="n" s="21">
        <v>0</v>
      </c>
      <c r="I642" t="n" s="18">
        <v>0</v>
      </c>
      <c r="J642" t="n" s="18">
        <v>0</v>
      </c>
      <c r="K642" t="n" s="20">
        <v>0</v>
      </c>
      <c r="L642" t="n" s="21">
        <v>0</v>
      </c>
      <c r="M642" t="n" s="19">
        <v>0</v>
      </c>
    </row>
    <row r="643" hidden="0" ht="15" customHeight="1" spans="1:1">
      <c r="A643" t="str" s="17">
        <f>HYPERLINK("https://amazon.com/dp/B08DP22ZRM", "B08DP22ZRM")</f>
      </c>
      <c r="B643" t="s">
        <v>657</v>
      </c>
      <c r="C643" t="s">
        <v>15</v>
      </c>
      <c r="D643" t="n" s="18">
        <v>0</v>
      </c>
      <c r="E643" t="n" s="19">
        <v>0</v>
      </c>
      <c r="F643" t="n" s="20">
        <v>0</v>
      </c>
      <c r="G643" t="n" s="19">
        <v>0</v>
      </c>
      <c r="H643" t="n" s="21">
        <v>0</v>
      </c>
      <c r="I643" t="n" s="18">
        <v>0</v>
      </c>
      <c r="J643" t="n" s="18">
        <v>0</v>
      </c>
      <c r="K643" t="n" s="20">
        <v>0</v>
      </c>
      <c r="L643" t="n" s="21">
        <v>0</v>
      </c>
      <c r="M643" t="n" s="19">
        <v>0</v>
      </c>
    </row>
    <row r="644" hidden="0" ht="15" customHeight="1" spans="1:1">
      <c r="A644" t="str" s="17">
        <f>HYPERLINK("https://amazon.com/dp/B0BN4CJGFT", "B0BN4CJGFT")</f>
      </c>
      <c r="B644" t="s">
        <v>658</v>
      </c>
      <c r="C644" t="s">
        <v>15</v>
      </c>
      <c r="D644" t="n" s="18">
        <v>0</v>
      </c>
      <c r="E644" t="n" s="19">
        <v>0</v>
      </c>
      <c r="F644" t="n" s="20">
        <v>0</v>
      </c>
      <c r="G644" t="n" s="19">
        <v>0</v>
      </c>
      <c r="H644" t="n" s="21">
        <v>0</v>
      </c>
      <c r="I644" t="n" s="18">
        <v>0</v>
      </c>
      <c r="J644" t="n" s="18">
        <v>0</v>
      </c>
      <c r="K644" t="n" s="20">
        <v>0</v>
      </c>
      <c r="L644" t="n" s="21">
        <v>0</v>
      </c>
      <c r="M644" t="n" s="19">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2026-08-04T08:22:35.870Z</dcterms:created>
  <dcterms:modified xsi:type="dcterms:W3CDTF">2026-08-04T08:22:35.870Z</dcterms:modified>
</cp:coreProperties>
</file>